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Zia\"/>
    </mc:Choice>
  </mc:AlternateContent>
  <xr:revisionPtr revIDLastSave="0" documentId="13_ncr:1_{0F478AE6-16DA-49F4-AAC7-246C018945F0}" xr6:coauthVersionLast="47" xr6:coauthVersionMax="47" xr10:uidLastSave="{00000000-0000-0000-0000-000000000000}"/>
  <bookViews>
    <workbookView xWindow="11424" yWindow="0" windowWidth="11712" windowHeight="12336" activeTab="2" xr2:uid="{00000000-000D-0000-FFFF-FFFF00000000}"/>
  </bookViews>
  <sheets>
    <sheet name="MAE" sheetId="1" r:id="rId1"/>
    <sheet name="MSE" sheetId="2" r:id="rId2"/>
    <sheet name="RMSE" sheetId="3" r:id="rId3"/>
    <sheet name="MAP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4" i="1" l="1"/>
  <c r="L14" i="1"/>
  <c r="H14" i="1"/>
  <c r="D14" i="1"/>
  <c r="C14" i="1"/>
  <c r="S14" i="4"/>
  <c r="Q14" i="4"/>
  <c r="C14" i="3"/>
  <c r="B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B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E14" i="1"/>
  <c r="F14" i="1"/>
  <c r="G14" i="1"/>
  <c r="I14" i="1"/>
  <c r="J14" i="1"/>
  <c r="K14" i="1"/>
  <c r="M14" i="1"/>
  <c r="N14" i="1"/>
  <c r="O14" i="1"/>
  <c r="P14" i="1"/>
  <c r="R14" i="1"/>
  <c r="S14" i="1"/>
  <c r="T14" i="1"/>
  <c r="U14" i="1"/>
  <c r="B14" i="1"/>
  <c r="D14" i="4"/>
  <c r="C14" i="4"/>
  <c r="E14" i="4"/>
  <c r="F14" i="4"/>
  <c r="G14" i="4"/>
  <c r="H14" i="4"/>
  <c r="I14" i="4"/>
  <c r="J14" i="4"/>
  <c r="K14" i="4"/>
  <c r="L14" i="4"/>
  <c r="M14" i="4"/>
  <c r="N14" i="4"/>
  <c r="O14" i="4"/>
  <c r="P14" i="4"/>
  <c r="R14" i="4"/>
  <c r="T14" i="4"/>
  <c r="U14" i="4"/>
  <c r="B14" i="4"/>
</calcChain>
</file>

<file path=xl/sharedStrings.xml><?xml version="1.0" encoding="utf-8"?>
<sst xmlns="http://schemas.openxmlformats.org/spreadsheetml/2006/main" count="128" uniqueCount="32">
  <si>
    <t>Horizon</t>
  </si>
  <si>
    <t>MU-250-40Kg|RandomForest</t>
  </si>
  <si>
    <t>MU-250-40Kg|XGBoost</t>
  </si>
  <si>
    <t>MU-250-40Kg|Lasso</t>
  </si>
  <si>
    <t>MU-250-40Kg|LightGBM</t>
  </si>
  <si>
    <t>MU-250-40Kg|Prophet</t>
  </si>
  <si>
    <t>MU-302-50Kg|RandomForest</t>
  </si>
  <si>
    <t>MU-302-50Kg|XGBoost</t>
  </si>
  <si>
    <t>MU-302-50Kg|Lasso</t>
  </si>
  <si>
    <t>MU-302-50Kg|LightGBM</t>
  </si>
  <si>
    <t>MU-302-50Kg|Prophet</t>
  </si>
  <si>
    <t>MU-380-40KG|RandomForest</t>
  </si>
  <si>
    <t>MU-380-40KG|XGBoost</t>
  </si>
  <si>
    <t>MU-380-40KG|Lasso</t>
  </si>
  <si>
    <t>MU-380-40KG|LightGBM</t>
  </si>
  <si>
    <t>MU-380-40KG|Prophet</t>
  </si>
  <si>
    <t>MU-480-Combined|RandomForest</t>
  </si>
  <si>
    <t>MU-480-Combined|XGBoost</t>
  </si>
  <si>
    <t>MU-480-Combined|Lasso</t>
  </si>
  <si>
    <t>MU-480-Combined|LightGBM</t>
  </si>
  <si>
    <t>MU-480-Combined|Prophet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</si>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</sst>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2" fontId="0" fillId="0" borderId="0" xfId="1" applyNumberFormat="1" applyFont="1" applyAlignment="1">
      <alignment horizontal="center"/>
    </xf>
    <xf numFmtId="2" fontId="0" fillId="0" borderId="0" xfId="1" applyNumberFormat="1" applyFont="1"/>
  </cellXfs>
  <cellStyles count="2">
    <cellStyle name="Normal" xfId="0" builtinId="0"/>
    <cellStyle name="Per 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4"/>
  <sheetViews>
    <sheetView topLeftCell="S1" workbookViewId="0">
      <selection activeCell="U14" sqref="U14"/>
    </sheetView>
  </sheetViews>
  <sheetFormatPr defaultRowHeight="14.4" x14ac:dyDescent="0.3"/>
  <cols>
    <col min="1" max="1" width="8.88671875" style="2"/>
    <col min="2" max="21" width="25.44140625" style="2" customWidth="1"/>
    <col min="22" max="16384" width="8.88671875" style="2"/>
  </cols>
  <sheetData>
    <row r="1" spans="1:2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3">
      <c r="A2" s="2" t="s">
        <v>21</v>
      </c>
      <c r="B2" s="2">
        <v>15196.46307202981</v>
      </c>
      <c r="C2" s="2">
        <v>13157.7578125</v>
      </c>
      <c r="D2" s="2">
        <v>15975.45019231426</v>
      </c>
      <c r="E2" s="2">
        <v>18781.114035087721</v>
      </c>
      <c r="F2" s="2">
        <v>14353.79353628858</v>
      </c>
      <c r="G2" s="2">
        <v>72184.56343936162</v>
      </c>
      <c r="H2" s="2">
        <v>82854.294270833328</v>
      </c>
      <c r="I2" s="2">
        <v>59448.430493095177</v>
      </c>
      <c r="J2" s="2">
        <v>95448.771929824565</v>
      </c>
      <c r="K2" s="2">
        <v>175247.38258595279</v>
      </c>
      <c r="L2" s="2">
        <v>42596.406326358847</v>
      </c>
      <c r="M2" s="2">
        <v>43121.427083333343</v>
      </c>
      <c r="N2" s="2">
        <v>25124.812992512791</v>
      </c>
      <c r="O2" s="2">
        <v>88093.877192982458</v>
      </c>
      <c r="P2" s="2">
        <v>97770.498891751282</v>
      </c>
      <c r="Q2" s="2">
        <v>1684.27140318478</v>
      </c>
      <c r="R2" s="2">
        <v>902.56966145833337</v>
      </c>
      <c r="S2" s="2">
        <v>4429.6736542901526</v>
      </c>
      <c r="T2" s="2">
        <v>3429.1491228070172</v>
      </c>
      <c r="U2" s="2">
        <v>6774.4858144499221</v>
      </c>
    </row>
    <row r="3" spans="1:21" x14ac:dyDescent="0.3">
      <c r="A3" s="2" t="s">
        <v>22</v>
      </c>
      <c r="B3" s="2">
        <v>5607.218903739772</v>
      </c>
      <c r="C3" s="2">
        <v>7695.46875</v>
      </c>
      <c r="D3" s="2">
        <v>4643.6756350245023</v>
      </c>
      <c r="E3" s="2">
        <v>9702.4358974358965</v>
      </c>
      <c r="F3" s="2">
        <v>42230.174240257104</v>
      </c>
      <c r="G3" s="2">
        <v>33010.081309819732</v>
      </c>
      <c r="H3" s="2">
        <v>62628.40625</v>
      </c>
      <c r="I3" s="2">
        <v>100111.5158073026</v>
      </c>
      <c r="J3" s="2">
        <v>62021.965811965812</v>
      </c>
      <c r="K3" s="2">
        <v>334312.11303133331</v>
      </c>
      <c r="L3" s="2">
        <v>35367.936893277998</v>
      </c>
      <c r="M3" s="2">
        <v>51755.71875</v>
      </c>
      <c r="N3" s="2">
        <v>36675.360051050673</v>
      </c>
      <c r="O3" s="2">
        <v>90711.205128205125</v>
      </c>
      <c r="P3" s="2">
        <v>37942.608169668267</v>
      </c>
      <c r="Q3" s="2">
        <v>2707.8039117364119</v>
      </c>
      <c r="R3" s="2">
        <v>1713.147786458333</v>
      </c>
      <c r="S3" s="2">
        <v>3131.3666418148482</v>
      </c>
      <c r="T3" s="2">
        <v>4514.4615384615399</v>
      </c>
      <c r="U3" s="2">
        <v>1548.43868809172</v>
      </c>
    </row>
    <row r="4" spans="1:21" x14ac:dyDescent="0.3">
      <c r="A4" s="2" t="s">
        <v>23</v>
      </c>
      <c r="B4" s="2">
        <v>2534.9522971380429</v>
      </c>
      <c r="C4" s="2">
        <v>1846.123697916667</v>
      </c>
      <c r="D4" s="2">
        <v>2849.4083982088609</v>
      </c>
      <c r="E4" s="2">
        <v>2296.1409791310648</v>
      </c>
      <c r="F4" s="2">
        <v>5932.9633418642597</v>
      </c>
      <c r="G4" s="2">
        <v>43861.575497234153</v>
      </c>
      <c r="H4" s="2">
        <v>115305.8645833333</v>
      </c>
      <c r="I4" s="2">
        <v>99972.226914368686</v>
      </c>
      <c r="J4" s="2">
        <v>19730.866572774248</v>
      </c>
      <c r="K4" s="2">
        <v>54906.755389338126</v>
      </c>
      <c r="L4" s="2">
        <v>51237.718165954313</v>
      </c>
      <c r="M4" s="2">
        <v>31007.625</v>
      </c>
      <c r="N4" s="2">
        <v>47172.482563739934</v>
      </c>
      <c r="O4" s="2">
        <v>60586.733910160598</v>
      </c>
      <c r="P4" s="2">
        <v>66141.509050239503</v>
      </c>
      <c r="Q4" s="2">
        <v>2501.4138061568028</v>
      </c>
      <c r="R4" s="2">
        <v>2046.853515625</v>
      </c>
      <c r="S4" s="2">
        <v>2307.628749258959</v>
      </c>
      <c r="T4" s="2">
        <v>5831.9166448116193</v>
      </c>
      <c r="U4" s="2">
        <v>2096.1097955060609</v>
      </c>
    </row>
    <row r="5" spans="1:21" x14ac:dyDescent="0.3">
      <c r="A5" s="2" t="s">
        <v>24</v>
      </c>
      <c r="B5" s="2">
        <v>4903.1305542605551</v>
      </c>
      <c r="C5" s="2">
        <v>1506.654947916667</v>
      </c>
      <c r="D5" s="2">
        <v>6377.6276243006623</v>
      </c>
      <c r="E5" s="2">
        <v>2954.099198459664</v>
      </c>
      <c r="F5" s="2">
        <v>5607.8881674915319</v>
      </c>
      <c r="G5" s="2">
        <v>58734.128662994357</v>
      </c>
      <c r="H5" s="2">
        <v>44731.052083333343</v>
      </c>
      <c r="I5" s="2">
        <v>92392.222073148048</v>
      </c>
      <c r="J5" s="2">
        <v>109871.8241851084</v>
      </c>
      <c r="K5" s="2">
        <v>149476.4353898206</v>
      </c>
      <c r="L5" s="2">
        <v>55585.497104377107</v>
      </c>
      <c r="M5" s="2">
        <v>42147.520833333343</v>
      </c>
      <c r="N5" s="2">
        <v>55338.030526257797</v>
      </c>
      <c r="O5" s="2">
        <v>60484.736934535977</v>
      </c>
      <c r="P5" s="2">
        <v>46007.282233263169</v>
      </c>
      <c r="Q5" s="2">
        <v>2035.2428946377729</v>
      </c>
      <c r="R5" s="2">
        <v>1495.989583333333</v>
      </c>
      <c r="S5" s="2">
        <v>3094.2890777875018</v>
      </c>
      <c r="T5" s="2">
        <v>1857.9048318350181</v>
      </c>
      <c r="U5" s="2">
        <v>2566.8962686391442</v>
      </c>
    </row>
    <row r="6" spans="1:21" x14ac:dyDescent="0.3">
      <c r="A6" s="2" t="s">
        <v>25</v>
      </c>
      <c r="B6" s="2">
        <v>4364.9638700327487</v>
      </c>
      <c r="C6" s="2">
        <v>4696.81640625</v>
      </c>
      <c r="D6" s="2">
        <v>8413.0107456070964</v>
      </c>
      <c r="E6" s="2">
        <v>5425.6872657712638</v>
      </c>
      <c r="F6" s="2">
        <v>6071.4975435864326</v>
      </c>
      <c r="G6" s="2">
        <v>43239.49484469703</v>
      </c>
      <c r="H6" s="2">
        <v>45196.1875</v>
      </c>
      <c r="I6" s="2">
        <v>111544.43116351261</v>
      </c>
      <c r="J6" s="2">
        <v>96965.876734620906</v>
      </c>
      <c r="K6" s="2">
        <v>106730.52033058379</v>
      </c>
      <c r="L6" s="2">
        <v>36046.269105847889</v>
      </c>
      <c r="M6" s="2">
        <v>64902.416666666657</v>
      </c>
      <c r="N6" s="2">
        <v>47334.670358976393</v>
      </c>
      <c r="O6" s="2">
        <v>40835.437655400427</v>
      </c>
      <c r="P6" s="2">
        <v>51661.249262643832</v>
      </c>
      <c r="Q6" s="2">
        <v>1865.7799717412161</v>
      </c>
      <c r="R6" s="2">
        <v>1901.279296875</v>
      </c>
      <c r="S6" s="2">
        <v>3386.9716247310839</v>
      </c>
      <c r="T6" s="2">
        <v>7469.5607549333281</v>
      </c>
      <c r="U6" s="2">
        <v>2498.593420598113</v>
      </c>
    </row>
    <row r="7" spans="1:21" x14ac:dyDescent="0.3">
      <c r="A7" s="2" t="s">
        <v>26</v>
      </c>
      <c r="B7" s="2">
        <v>4241.4591171883703</v>
      </c>
      <c r="C7" s="2">
        <v>3895.307291666667</v>
      </c>
      <c r="D7" s="2">
        <v>12802.619804329361</v>
      </c>
      <c r="E7" s="2">
        <v>7856.5075400779097</v>
      </c>
      <c r="F7" s="2">
        <v>6252.8125825887983</v>
      </c>
      <c r="G7" s="2">
        <v>42413.097133001327</v>
      </c>
      <c r="H7" s="2">
        <v>76646.916666666672</v>
      </c>
      <c r="I7" s="2">
        <v>94270.711347855206</v>
      </c>
      <c r="J7" s="2">
        <v>130963.6133325589</v>
      </c>
      <c r="K7" s="2">
        <v>74244.827159008491</v>
      </c>
      <c r="L7" s="2">
        <v>35751.697229798207</v>
      </c>
      <c r="M7" s="2">
        <v>44879.833333333343</v>
      </c>
      <c r="N7" s="2">
        <v>66446.109990064098</v>
      </c>
      <c r="O7" s="2">
        <v>60543.000534955063</v>
      </c>
      <c r="P7" s="2">
        <v>24240.49365159027</v>
      </c>
      <c r="Q7" s="2">
        <v>2176.050840488223</v>
      </c>
      <c r="R7" s="2">
        <v>1603.23046875</v>
      </c>
      <c r="S7" s="2">
        <v>3673.503843527109</v>
      </c>
      <c r="T7" s="2">
        <v>3281.2625279462582</v>
      </c>
      <c r="U7" s="2">
        <v>3821.0997364556902</v>
      </c>
    </row>
    <row r="8" spans="1:21" x14ac:dyDescent="0.3">
      <c r="A8" s="2" t="s">
        <v>27</v>
      </c>
      <c r="B8" s="2">
        <v>3746.1333651163591</v>
      </c>
      <c r="C8" s="2">
        <v>3615.875</v>
      </c>
      <c r="D8" s="2">
        <v>8015.3791863296574</v>
      </c>
      <c r="E8" s="2">
        <v>7671.6309720467207</v>
      </c>
      <c r="F8" s="2">
        <v>8901.4334933391019</v>
      </c>
      <c r="G8" s="2">
        <v>43006.697274503378</v>
      </c>
      <c r="H8" s="2">
        <v>38301.96875</v>
      </c>
      <c r="I8" s="2">
        <v>46068.353507307977</v>
      </c>
      <c r="J8" s="2">
        <v>25623.34993141441</v>
      </c>
      <c r="K8" s="2">
        <v>46841.175780028083</v>
      </c>
      <c r="L8" s="2">
        <v>53527.766119769207</v>
      </c>
      <c r="M8" s="2">
        <v>53437.635416666657</v>
      </c>
      <c r="N8" s="2">
        <v>71845.43532258668</v>
      </c>
      <c r="O8" s="2">
        <v>56316.272544220112</v>
      </c>
      <c r="P8" s="2">
        <v>38073.317385733397</v>
      </c>
      <c r="Q8" s="2">
        <v>2517.6909656685862</v>
      </c>
      <c r="R8" s="2">
        <v>1749.504557291667</v>
      </c>
      <c r="S8" s="2">
        <v>2792.2388938853792</v>
      </c>
      <c r="T8" s="2">
        <v>3217.4896697616018</v>
      </c>
      <c r="U8" s="2">
        <v>7645.0047031982076</v>
      </c>
    </row>
    <row r="9" spans="1:21" x14ac:dyDescent="0.3">
      <c r="A9" s="2" t="s">
        <v>28</v>
      </c>
      <c r="B9" s="2">
        <v>6570.1363310346887</v>
      </c>
      <c r="C9" s="2">
        <v>4412.647135416667</v>
      </c>
      <c r="D9" s="2">
        <v>9624.4590972813767</v>
      </c>
      <c r="E9" s="2">
        <v>10309.42954249486</v>
      </c>
      <c r="F9" s="2">
        <v>16966.88404482566</v>
      </c>
      <c r="G9" s="2">
        <v>80066.326127002729</v>
      </c>
      <c r="H9" s="2">
        <v>89461.052083333328</v>
      </c>
      <c r="I9" s="2">
        <v>79478.315902621194</v>
      </c>
      <c r="J9" s="2">
        <v>46318.15423908618</v>
      </c>
      <c r="K9" s="2">
        <v>104809.4070334195</v>
      </c>
      <c r="L9" s="2">
        <v>68436.704924122489</v>
      </c>
      <c r="M9" s="2">
        <v>50662.385416666657</v>
      </c>
      <c r="N9" s="2">
        <v>93487.283063624098</v>
      </c>
      <c r="O9" s="2">
        <v>87728.090535266791</v>
      </c>
      <c r="P9" s="2">
        <v>75066.678296773069</v>
      </c>
      <c r="Q9" s="2">
        <v>4672.590531783032</v>
      </c>
      <c r="R9" s="2">
        <v>2930.623697916667</v>
      </c>
      <c r="S9" s="2">
        <v>3784.4142849491341</v>
      </c>
      <c r="T9" s="2">
        <v>5007.9356287033543</v>
      </c>
      <c r="U9" s="2">
        <v>11826.466692563021</v>
      </c>
    </row>
    <row r="10" spans="1:21" x14ac:dyDescent="0.3">
      <c r="A10" s="2" t="s">
        <v>29</v>
      </c>
      <c r="B10" s="2">
        <v>12625.28378144077</v>
      </c>
      <c r="C10" s="2">
        <v>8884.5924479166661</v>
      </c>
      <c r="D10" s="2">
        <v>14205.415866245519</v>
      </c>
      <c r="E10" s="2">
        <v>10843.156591992611</v>
      </c>
      <c r="F10" s="2">
        <v>209788.12157051711</v>
      </c>
      <c r="G10" s="2">
        <v>80597.604241702778</v>
      </c>
      <c r="H10" s="2">
        <v>65357.1875</v>
      </c>
      <c r="I10" s="2">
        <v>96433.683714814237</v>
      </c>
      <c r="J10" s="2">
        <v>64840.72240243596</v>
      </c>
      <c r="K10" s="2">
        <v>1421707.3656799521</v>
      </c>
      <c r="L10" s="2">
        <v>97710.316832537937</v>
      </c>
      <c r="M10" s="2">
        <v>88231.364583333328</v>
      </c>
      <c r="N10" s="2">
        <v>78111.558782510649</v>
      </c>
      <c r="O10" s="2">
        <v>97369.714179683593</v>
      </c>
      <c r="P10" s="2">
        <v>507482.79679642827</v>
      </c>
      <c r="Q10" s="2">
        <v>7101.1268665223688</v>
      </c>
      <c r="R10" s="2">
        <v>6031.252604166667</v>
      </c>
      <c r="S10" s="2">
        <v>4371.3129450105334</v>
      </c>
      <c r="T10" s="2">
        <v>6060.1063337176483</v>
      </c>
      <c r="U10" s="2">
        <v>112359.61350289561</v>
      </c>
    </row>
    <row r="11" spans="1:21" x14ac:dyDescent="0.3">
      <c r="A11" s="2" t="s">
        <v>30</v>
      </c>
      <c r="B11" s="2">
        <v>16930.15222450699</v>
      </c>
      <c r="C11" s="2">
        <v>20172.946614583328</v>
      </c>
      <c r="D11" s="2">
        <v>17605.31195674777</v>
      </c>
      <c r="E11" s="2">
        <v>15077.79640533145</v>
      </c>
      <c r="F11" s="2">
        <v>461592.45448764769</v>
      </c>
      <c r="G11" s="2">
        <v>104945.0940895262</v>
      </c>
      <c r="H11" s="2">
        <v>88535.5625</v>
      </c>
      <c r="I11" s="2">
        <v>56639.844581769103</v>
      </c>
      <c r="J11" s="2">
        <v>58813.07584177571</v>
      </c>
      <c r="K11" s="2">
        <v>2764385.4609426842</v>
      </c>
      <c r="L11" s="2">
        <v>149120.93696194081</v>
      </c>
      <c r="M11" s="2">
        <v>115142.3020833333</v>
      </c>
      <c r="N11" s="2">
        <v>80799.97256832337</v>
      </c>
      <c r="O11" s="2">
        <v>136338.16071740931</v>
      </c>
      <c r="P11" s="2">
        <v>769076.61509776243</v>
      </c>
      <c r="Q11" s="2">
        <v>7101.4415020442493</v>
      </c>
      <c r="R11" s="2">
        <v>8047.544270833333</v>
      </c>
      <c r="S11" s="2">
        <v>2812.466998506497</v>
      </c>
      <c r="T11" s="2">
        <v>4725.7414937667336</v>
      </c>
      <c r="U11" s="2">
        <v>261476.90500578471</v>
      </c>
    </row>
    <row r="12" spans="1:21" x14ac:dyDescent="0.3">
      <c r="A12" s="2" t="s">
        <v>31</v>
      </c>
      <c r="B12" s="2">
        <v>30045.9692099567</v>
      </c>
      <c r="C12" s="2">
        <v>33288.513020833343</v>
      </c>
      <c r="D12" s="2">
        <v>28684.959235632279</v>
      </c>
      <c r="E12" s="2">
        <v>27201.050174169221</v>
      </c>
      <c r="F12" s="2">
        <v>741193.313384737</v>
      </c>
      <c r="G12" s="2">
        <v>166989.54513452289</v>
      </c>
      <c r="H12" s="2">
        <v>127420.0833333333</v>
      </c>
      <c r="I12" s="2">
        <v>98634.540600480934</v>
      </c>
      <c r="J12" s="2">
        <v>106125.34873998549</v>
      </c>
      <c r="K12" s="2">
        <v>3586594.8312037629</v>
      </c>
      <c r="L12" s="2">
        <v>198056.08007874069</v>
      </c>
      <c r="M12" s="2">
        <v>165441.53125</v>
      </c>
      <c r="N12" s="2">
        <v>96272.771890153221</v>
      </c>
      <c r="O12" s="2">
        <v>189378.8568428295</v>
      </c>
      <c r="P12" s="2">
        <v>1670574.6471353371</v>
      </c>
      <c r="Q12" s="2">
        <v>6799.3159437830664</v>
      </c>
      <c r="R12" s="2">
        <v>4225.175130208333</v>
      </c>
      <c r="S12" s="2">
        <v>3671.8908660431921</v>
      </c>
      <c r="T12" s="2">
        <v>5721.0864881614143</v>
      </c>
      <c r="U12" s="2">
        <v>405487.30949360383</v>
      </c>
    </row>
    <row r="14" spans="1:21" x14ac:dyDescent="0.3">
      <c r="B14" s="2">
        <f>AVERAGE(B2:B12)</f>
        <v>9705.9875205858916</v>
      </c>
      <c r="C14" s="2">
        <f>AVERAGE(C2:C12)</f>
        <v>9379.3366477272721</v>
      </c>
      <c r="D14" s="2">
        <f>AVERAGE(D2:D12)</f>
        <v>11745.210703820123</v>
      </c>
      <c r="E14" s="2">
        <f t="shared" ref="C14:U14" si="0">AVERAGE(E2:E12)</f>
        <v>10738.095327454397</v>
      </c>
      <c r="F14" s="2">
        <f t="shared" si="0"/>
        <v>138081.03058119485</v>
      </c>
      <c r="G14" s="2">
        <f t="shared" si="0"/>
        <v>69913.473432215105</v>
      </c>
      <c r="H14" s="2">
        <f>AVERAGE(H2:H12)</f>
        <v>76039.870501893936</v>
      </c>
      <c r="I14" s="2">
        <f t="shared" si="0"/>
        <v>84999.479646025051</v>
      </c>
      <c r="J14" s="2">
        <f t="shared" si="0"/>
        <v>74247.597247413694</v>
      </c>
      <c r="K14" s="2">
        <f t="shared" si="0"/>
        <v>801750.57041144383</v>
      </c>
      <c r="L14" s="2">
        <f>AVERAGE(L2:L12)</f>
        <v>74857.939067520507</v>
      </c>
      <c r="M14" s="2">
        <f t="shared" si="0"/>
        <v>68248.160037878784</v>
      </c>
      <c r="N14" s="2">
        <f t="shared" si="0"/>
        <v>63509.862555436332</v>
      </c>
      <c r="O14" s="2">
        <f t="shared" si="0"/>
        <v>88035.098743240815</v>
      </c>
      <c r="P14" s="2">
        <f t="shared" si="0"/>
        <v>307639.79054283554</v>
      </c>
      <c r="Q14" s="2">
        <f>AVERAGE(Q2:Q12)</f>
        <v>3742.0662397951378</v>
      </c>
      <c r="R14" s="2">
        <f t="shared" si="0"/>
        <v>2967.924597537879</v>
      </c>
      <c r="S14" s="2">
        <f t="shared" si="0"/>
        <v>3405.0688708913081</v>
      </c>
      <c r="T14" s="2">
        <f t="shared" si="0"/>
        <v>4646.9650031732308</v>
      </c>
      <c r="U14" s="2">
        <f t="shared" si="0"/>
        <v>74372.81119288964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4"/>
  <sheetViews>
    <sheetView topLeftCell="Q1" workbookViewId="0">
      <selection activeCell="Q15" sqref="Q15"/>
    </sheetView>
  </sheetViews>
  <sheetFormatPr defaultRowHeight="14.4" x14ac:dyDescent="0.3"/>
  <cols>
    <col min="2" max="2" width="25.44140625" bestFit="1" customWidth="1"/>
    <col min="3" max="3" width="20.33203125" bestFit="1" customWidth="1"/>
    <col min="4" max="4" width="17.88671875" bestFit="1" customWidth="1"/>
    <col min="5" max="5" width="21.33203125" bestFit="1" customWidth="1"/>
    <col min="6" max="6" width="19.77734375" bestFit="1" customWidth="1"/>
    <col min="7" max="7" width="25.44140625" bestFit="1" customWidth="1"/>
    <col min="8" max="8" width="20.33203125" bestFit="1" customWidth="1"/>
    <col min="9" max="9" width="17.88671875" bestFit="1" customWidth="1"/>
    <col min="10" max="10" width="21.33203125" bestFit="1" customWidth="1"/>
    <col min="11" max="11" width="19.77734375" bestFit="1" customWidth="1"/>
    <col min="12" max="12" width="25.77734375" bestFit="1" customWidth="1"/>
    <col min="13" max="13" width="20.6640625" bestFit="1" customWidth="1"/>
    <col min="14" max="14" width="18.21875" bestFit="1" customWidth="1"/>
    <col min="15" max="15" width="21.6640625" bestFit="1" customWidth="1"/>
    <col min="16" max="16" width="20.109375" bestFit="1" customWidth="1"/>
    <col min="17" max="17" width="29.88671875" bestFit="1" customWidth="1"/>
    <col min="18" max="18" width="24.77734375" bestFit="1" customWidth="1"/>
    <col min="19" max="19" width="22.33203125" bestFit="1" customWidth="1"/>
    <col min="20" max="20" width="25.77734375" bestFit="1" customWidth="1"/>
    <col min="21" max="21" width="24.21875" bestFit="1" customWidth="1"/>
  </cols>
  <sheetData>
    <row r="1" spans="1:2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3">
      <c r="A2" s="2" t="s">
        <v>21</v>
      </c>
      <c r="B2" s="2">
        <v>348235074.18733633</v>
      </c>
      <c r="C2" s="2">
        <v>431566165.03547162</v>
      </c>
      <c r="D2" s="2">
        <v>287313988.81663883</v>
      </c>
      <c r="E2" s="2">
        <v>504518365.95452452</v>
      </c>
      <c r="F2" s="2">
        <v>297095492.86563438</v>
      </c>
      <c r="G2" s="2">
        <v>6814895173.5431433</v>
      </c>
      <c r="H2" s="2">
        <v>7352857153.2955933</v>
      </c>
      <c r="I2" s="2">
        <v>8008323133.0414162</v>
      </c>
      <c r="J2" s="2">
        <v>12480923391.92429</v>
      </c>
      <c r="K2" s="2">
        <v>63681531764.855164</v>
      </c>
      <c r="L2" s="2">
        <v>2882615957.986372</v>
      </c>
      <c r="M2" s="2">
        <v>3025741110.8948569</v>
      </c>
      <c r="N2" s="2">
        <v>751593842.85257494</v>
      </c>
      <c r="O2" s="2">
        <v>8391026260.6269608</v>
      </c>
      <c r="P2" s="2">
        <v>10204657644.46064</v>
      </c>
      <c r="Q2" s="2">
        <v>3106726.263457953</v>
      </c>
      <c r="R2" s="2">
        <v>1086386.527884166</v>
      </c>
      <c r="S2" s="2">
        <v>28514257.502601579</v>
      </c>
      <c r="T2" s="2">
        <v>14345333.262003681</v>
      </c>
      <c r="U2" s="2">
        <v>87764878.278725222</v>
      </c>
    </row>
    <row r="3" spans="1:21" x14ac:dyDescent="0.3">
      <c r="A3" s="2" t="s">
        <v>22</v>
      </c>
      <c r="B3" s="2">
        <v>36877938.454246603</v>
      </c>
      <c r="C3" s="2">
        <v>134961780.4821879</v>
      </c>
      <c r="D3" s="2">
        <v>21583605.3144802</v>
      </c>
      <c r="E3" s="2">
        <v>185663973.23274159</v>
      </c>
      <c r="F3" s="2">
        <v>1807049293.281383</v>
      </c>
      <c r="G3" s="2">
        <v>1575009619.2537439</v>
      </c>
      <c r="H3" s="2">
        <v>5395975399.5094404</v>
      </c>
      <c r="I3" s="2">
        <v>13127772896.60001</v>
      </c>
      <c r="J3" s="2">
        <v>6083802619.583169</v>
      </c>
      <c r="K3" s="2">
        <v>119942246313.5323</v>
      </c>
      <c r="L3" s="2">
        <v>2604040124.0426688</v>
      </c>
      <c r="M3" s="2">
        <v>3122885249.8570962</v>
      </c>
      <c r="N3" s="2">
        <v>1695262814.5704019</v>
      </c>
      <c r="O3" s="2">
        <v>8844642744.5069027</v>
      </c>
      <c r="P3" s="2">
        <v>2789821545.373034</v>
      </c>
      <c r="Q3" s="2">
        <v>8675145.4804898147</v>
      </c>
      <c r="R3" s="2">
        <v>3145496.3986829119</v>
      </c>
      <c r="S3" s="2">
        <v>14595106.236528089</v>
      </c>
      <c r="T3" s="2">
        <v>27058617.204470761</v>
      </c>
      <c r="U3" s="2">
        <v>3180729.7732308339</v>
      </c>
    </row>
    <row r="4" spans="1:21" x14ac:dyDescent="0.3">
      <c r="A4" s="2" t="s">
        <v>23</v>
      </c>
      <c r="B4" s="2">
        <v>11708603.56973638</v>
      </c>
      <c r="C4" s="2">
        <v>4318959.6796213789</v>
      </c>
      <c r="D4" s="2">
        <v>9010913.282118246</v>
      </c>
      <c r="E4" s="2">
        <v>5729803.2466270179</v>
      </c>
      <c r="F4" s="2">
        <v>48459340.552412301</v>
      </c>
      <c r="G4" s="2">
        <v>2605179779.8573461</v>
      </c>
      <c r="H4" s="2">
        <v>13730454667.924641</v>
      </c>
      <c r="I4" s="2">
        <v>10370287754.417589</v>
      </c>
      <c r="J4" s="2">
        <v>573105441.93430305</v>
      </c>
      <c r="K4" s="2">
        <v>3253790649.9638109</v>
      </c>
      <c r="L4" s="2">
        <v>3444492794.655283</v>
      </c>
      <c r="M4" s="2">
        <v>2127819744.307292</v>
      </c>
      <c r="N4" s="2">
        <v>2317956246.5002708</v>
      </c>
      <c r="O4" s="2">
        <v>4154417210.3119998</v>
      </c>
      <c r="P4" s="2">
        <v>5677793664.0469275</v>
      </c>
      <c r="Q4" s="2">
        <v>8796029.3028707262</v>
      </c>
      <c r="R4" s="2">
        <v>9016670.5280367527</v>
      </c>
      <c r="S4" s="2">
        <v>6008340.5733273169</v>
      </c>
      <c r="T4" s="2">
        <v>36509175.705831811</v>
      </c>
      <c r="U4" s="2">
        <v>5304425.3100781664</v>
      </c>
    </row>
    <row r="5" spans="1:21" x14ac:dyDescent="0.3">
      <c r="A5" s="2" t="s">
        <v>24</v>
      </c>
      <c r="B5" s="2">
        <v>39270951.211127743</v>
      </c>
      <c r="C5" s="2">
        <v>3353391.8728892012</v>
      </c>
      <c r="D5" s="2">
        <v>79396537.886715651</v>
      </c>
      <c r="E5" s="2">
        <v>15526781.75474206</v>
      </c>
      <c r="F5" s="2">
        <v>60672613.501305379</v>
      </c>
      <c r="G5" s="2">
        <v>4510001711.8999043</v>
      </c>
      <c r="H5" s="2">
        <v>2467364691.5081382</v>
      </c>
      <c r="I5" s="2">
        <v>11568363137.62689</v>
      </c>
      <c r="J5" s="2">
        <v>12632151110.44602</v>
      </c>
      <c r="K5" s="2">
        <v>24084716432.990829</v>
      </c>
      <c r="L5" s="2">
        <v>3692737855.8254261</v>
      </c>
      <c r="M5" s="2">
        <v>2568741644.4173179</v>
      </c>
      <c r="N5" s="2">
        <v>3083267405.3531342</v>
      </c>
      <c r="O5" s="2">
        <v>3718027803.3364081</v>
      </c>
      <c r="P5" s="2">
        <v>3342527166.670444</v>
      </c>
      <c r="Q5" s="2">
        <v>6174814.2485528896</v>
      </c>
      <c r="R5" s="2">
        <v>2796418.4692866011</v>
      </c>
      <c r="S5" s="2">
        <v>12442537.93477178</v>
      </c>
      <c r="T5" s="2">
        <v>4765108.4456917169</v>
      </c>
      <c r="U5" s="2">
        <v>9562376.533902565</v>
      </c>
    </row>
    <row r="6" spans="1:21" x14ac:dyDescent="0.3">
      <c r="A6" s="2" t="s">
        <v>25</v>
      </c>
      <c r="B6" s="2">
        <v>25748059.16304858</v>
      </c>
      <c r="C6" s="2">
        <v>33554577.147638947</v>
      </c>
      <c r="D6" s="2">
        <v>104570809.3420992</v>
      </c>
      <c r="E6" s="2">
        <v>34254241.614573158</v>
      </c>
      <c r="F6" s="2">
        <v>67687389.185428262</v>
      </c>
      <c r="G6" s="2">
        <v>2383015689.9313521</v>
      </c>
      <c r="H6" s="2">
        <v>2702595350.3268232</v>
      </c>
      <c r="I6" s="2">
        <v>14034956211.184669</v>
      </c>
      <c r="J6" s="2">
        <v>11862844389.34548</v>
      </c>
      <c r="K6" s="2">
        <v>12607911999.677771</v>
      </c>
      <c r="L6" s="2">
        <v>1633025686.547014</v>
      </c>
      <c r="M6" s="2">
        <v>4336670888.9511719</v>
      </c>
      <c r="N6" s="2">
        <v>2474346512.1089821</v>
      </c>
      <c r="O6" s="2">
        <v>1956069074.5272679</v>
      </c>
      <c r="P6" s="2">
        <v>4388594195.9995699</v>
      </c>
      <c r="Q6" s="2">
        <v>3913537.239154208</v>
      </c>
      <c r="R6" s="2">
        <v>4583518.6803092957</v>
      </c>
      <c r="S6" s="2">
        <v>15825101.404179109</v>
      </c>
      <c r="T6" s="2">
        <v>56113312.404311858</v>
      </c>
      <c r="U6" s="2">
        <v>8891627.554040622</v>
      </c>
    </row>
    <row r="7" spans="1:21" x14ac:dyDescent="0.3">
      <c r="A7" s="2" t="s">
        <v>26</v>
      </c>
      <c r="B7" s="2">
        <v>27974465.496837892</v>
      </c>
      <c r="C7" s="2">
        <v>17289174.148386639</v>
      </c>
      <c r="D7" s="2">
        <v>166644280.7416082</v>
      </c>
      <c r="E7" s="2">
        <v>63736689.421584569</v>
      </c>
      <c r="F7" s="2">
        <v>58215946.620497592</v>
      </c>
      <c r="G7" s="2">
        <v>2562884499.722218</v>
      </c>
      <c r="H7" s="2">
        <v>6180204224.302083</v>
      </c>
      <c r="I7" s="2">
        <v>8962160960.574419</v>
      </c>
      <c r="J7" s="2">
        <v>17496706991.27169</v>
      </c>
      <c r="K7" s="2">
        <v>5851666728.5973673</v>
      </c>
      <c r="L7" s="2">
        <v>1379537910.3124399</v>
      </c>
      <c r="M7" s="2">
        <v>2658270975.1555991</v>
      </c>
      <c r="N7" s="2">
        <v>5155400996.7957497</v>
      </c>
      <c r="O7" s="2">
        <v>4908837976.1511488</v>
      </c>
      <c r="P7" s="2">
        <v>1026196435.906656</v>
      </c>
      <c r="Q7" s="2">
        <v>5961308.4353218488</v>
      </c>
      <c r="R7" s="2">
        <v>3100813.4059397378</v>
      </c>
      <c r="S7" s="2">
        <v>15881338.401004439</v>
      </c>
      <c r="T7" s="2">
        <v>12676988.500367651</v>
      </c>
      <c r="U7" s="2">
        <v>20702952.118482761</v>
      </c>
    </row>
    <row r="8" spans="1:21" x14ac:dyDescent="0.3">
      <c r="A8" s="2" t="s">
        <v>27</v>
      </c>
      <c r="B8" s="2">
        <v>21828610.824809819</v>
      </c>
      <c r="C8" s="2">
        <v>19359147.616251629</v>
      </c>
      <c r="D8" s="2">
        <v>70281346.869506285</v>
      </c>
      <c r="E8" s="2">
        <v>94161096.506803989</v>
      </c>
      <c r="F8" s="2">
        <v>134439965.4198375</v>
      </c>
      <c r="G8" s="2">
        <v>3498352195.1289601</v>
      </c>
      <c r="H8" s="2">
        <v>3620494120.2086592</v>
      </c>
      <c r="I8" s="2">
        <v>2385823363.940475</v>
      </c>
      <c r="J8" s="2">
        <v>834822754.51125014</v>
      </c>
      <c r="K8" s="2">
        <v>4183699983.3552041</v>
      </c>
      <c r="L8" s="2">
        <v>2984088244.8169999</v>
      </c>
      <c r="M8" s="2">
        <v>3468110851.3219399</v>
      </c>
      <c r="N8" s="2">
        <v>5826686328.394454</v>
      </c>
      <c r="O8" s="2">
        <v>4677311651.3217096</v>
      </c>
      <c r="P8" s="2">
        <v>1934757581.8683901</v>
      </c>
      <c r="Q8" s="2">
        <v>9887988.7072453108</v>
      </c>
      <c r="R8" s="2">
        <v>4670172.0619468689</v>
      </c>
      <c r="S8" s="2">
        <v>10193807.439541331</v>
      </c>
      <c r="T8" s="2">
        <v>15765299.240094669</v>
      </c>
      <c r="U8" s="2">
        <v>71345859.891295776</v>
      </c>
    </row>
    <row r="9" spans="1:21" x14ac:dyDescent="0.3">
      <c r="A9" s="2" t="s">
        <v>28</v>
      </c>
      <c r="B9" s="2">
        <v>63760633.065111637</v>
      </c>
      <c r="C9" s="2">
        <v>24769121.05060323</v>
      </c>
      <c r="D9" s="2">
        <v>95034765.227189526</v>
      </c>
      <c r="E9" s="2">
        <v>152279272.40758979</v>
      </c>
      <c r="F9" s="2">
        <v>341883921.9925952</v>
      </c>
      <c r="G9" s="2">
        <v>8667523496.5734463</v>
      </c>
      <c r="H9" s="2">
        <v>10771272443.685221</v>
      </c>
      <c r="I9" s="2">
        <v>8722004063.5191803</v>
      </c>
      <c r="J9" s="2">
        <v>3225643377.0869689</v>
      </c>
      <c r="K9" s="2">
        <v>16238594059.164709</v>
      </c>
      <c r="L9" s="2">
        <v>5147033065.6801081</v>
      </c>
      <c r="M9" s="2">
        <v>3271943745.566081</v>
      </c>
      <c r="N9" s="2">
        <v>8809246088.1959667</v>
      </c>
      <c r="O9" s="2">
        <v>8251150896.9051323</v>
      </c>
      <c r="P9" s="2">
        <v>6857801615.3091726</v>
      </c>
      <c r="Q9" s="2">
        <v>33420474.073694959</v>
      </c>
      <c r="R9" s="2">
        <v>11783387.289800011</v>
      </c>
      <c r="S9" s="2">
        <v>21564734.55973503</v>
      </c>
      <c r="T9" s="2">
        <v>38008157.809985183</v>
      </c>
      <c r="U9" s="2">
        <v>148442656.4746041</v>
      </c>
    </row>
    <row r="10" spans="1:21" x14ac:dyDescent="0.3">
      <c r="A10" s="2" t="s">
        <v>29</v>
      </c>
      <c r="B10" s="2">
        <v>175647580.5315764</v>
      </c>
      <c r="C10" s="2">
        <v>90376370.594670609</v>
      </c>
      <c r="D10" s="2">
        <v>213820349.43789491</v>
      </c>
      <c r="E10" s="2">
        <v>146923458.40594411</v>
      </c>
      <c r="F10" s="2">
        <v>117199435837.5479</v>
      </c>
      <c r="G10" s="2">
        <v>7957744900.626874</v>
      </c>
      <c r="H10" s="2">
        <v>6199141826.7330732</v>
      </c>
      <c r="I10" s="2">
        <v>11164814243.381041</v>
      </c>
      <c r="J10" s="2">
        <v>4336149033.7514086</v>
      </c>
      <c r="K10" s="2">
        <v>5191776377339.4238</v>
      </c>
      <c r="L10" s="2">
        <v>10386892305.295139</v>
      </c>
      <c r="M10" s="2">
        <v>9029090399.9488926</v>
      </c>
      <c r="N10" s="2">
        <v>7462015146.9891787</v>
      </c>
      <c r="O10" s="2">
        <v>10428908768.45368</v>
      </c>
      <c r="P10" s="2">
        <v>596510040468.70667</v>
      </c>
      <c r="Q10" s="2">
        <v>52840634.102642961</v>
      </c>
      <c r="R10" s="2">
        <v>43400625.057027183</v>
      </c>
      <c r="S10" s="2">
        <v>23011413.679069661</v>
      </c>
      <c r="T10" s="2">
        <v>42759012.797895171</v>
      </c>
      <c r="U10" s="2">
        <v>35325980536.645981</v>
      </c>
    </row>
    <row r="11" spans="1:21" x14ac:dyDescent="0.3">
      <c r="A11" s="2" t="s">
        <v>30</v>
      </c>
      <c r="B11" s="2">
        <v>372630597.80478132</v>
      </c>
      <c r="C11" s="2">
        <v>606406777.91726172</v>
      </c>
      <c r="D11" s="2">
        <v>364843362.82264882</v>
      </c>
      <c r="E11" s="2">
        <v>317448292.3816548</v>
      </c>
      <c r="F11" s="2">
        <v>325272176521.14697</v>
      </c>
      <c r="G11" s="2">
        <v>11691006795.830799</v>
      </c>
      <c r="H11" s="2">
        <v>8970982479.4303379</v>
      </c>
      <c r="I11" s="2">
        <v>3381395533.9614191</v>
      </c>
      <c r="J11" s="2">
        <v>3474125579.106647</v>
      </c>
      <c r="K11" s="2">
        <v>11579812330066.029</v>
      </c>
      <c r="L11" s="2">
        <v>27077784588.465778</v>
      </c>
      <c r="M11" s="2">
        <v>13892577130.807619</v>
      </c>
      <c r="N11" s="2">
        <v>8727998729.923624</v>
      </c>
      <c r="O11" s="2">
        <v>19163072414.634041</v>
      </c>
      <c r="P11" s="2">
        <v>965574514892.47852</v>
      </c>
      <c r="Q11" s="2">
        <v>54749608.225852311</v>
      </c>
      <c r="R11" s="2">
        <v>75279716.041025802</v>
      </c>
      <c r="S11" s="2">
        <v>10312893.418118021</v>
      </c>
      <c r="T11" s="2">
        <v>28875322.117442209</v>
      </c>
      <c r="U11" s="2">
        <v>104306517017.2542</v>
      </c>
    </row>
    <row r="12" spans="1:21" x14ac:dyDescent="0.3">
      <c r="A12" s="2" t="s">
        <v>31</v>
      </c>
      <c r="B12" s="2">
        <v>922589630.08572638</v>
      </c>
      <c r="C12" s="2">
        <v>1130583621.4966431</v>
      </c>
      <c r="D12" s="2">
        <v>913007011.80656183</v>
      </c>
      <c r="E12" s="2">
        <v>858185295.40478802</v>
      </c>
      <c r="F12" s="2">
        <v>567633990513.57813</v>
      </c>
      <c r="G12" s="2">
        <v>30560451325.96669</v>
      </c>
      <c r="H12" s="2">
        <v>20167926607.622391</v>
      </c>
      <c r="I12" s="2">
        <v>11380706589.21542</v>
      </c>
      <c r="J12" s="2">
        <v>15588206261.012871</v>
      </c>
      <c r="K12" s="2">
        <v>13223070788585.16</v>
      </c>
      <c r="L12" s="2">
        <v>41702935529.078918</v>
      </c>
      <c r="M12" s="2">
        <v>28212818044.71777</v>
      </c>
      <c r="N12" s="2">
        <v>14990236986.251659</v>
      </c>
      <c r="O12" s="2">
        <v>37519153060.880234</v>
      </c>
      <c r="P12" s="2">
        <v>3547974876823.0562</v>
      </c>
      <c r="Q12" s="2">
        <v>53063800.242270797</v>
      </c>
      <c r="R12" s="2">
        <v>20389836.026388809</v>
      </c>
      <c r="S12" s="2">
        <v>16942307.19701447</v>
      </c>
      <c r="T12" s="2">
        <v>39180611.369309783</v>
      </c>
      <c r="U12" s="2">
        <v>167044750326.2196</v>
      </c>
    </row>
    <row r="14" spans="1:21" x14ac:dyDescent="0.3">
      <c r="B14" s="2">
        <f>AVERAGE(B2:B12)</f>
        <v>186024740.39948538</v>
      </c>
      <c r="C14" s="2">
        <f t="shared" ref="C14:U14" si="0">AVERAGE(C2:C12)</f>
        <v>226958098.82196599</v>
      </c>
      <c r="D14" s="2">
        <f t="shared" si="0"/>
        <v>211409724.68613288</v>
      </c>
      <c r="E14" s="2">
        <f t="shared" si="0"/>
        <v>216220660.93923396</v>
      </c>
      <c r="F14" s="2">
        <f t="shared" si="0"/>
        <v>92083736985.062927</v>
      </c>
      <c r="G14" s="2">
        <f t="shared" si="0"/>
        <v>7529642289.848588</v>
      </c>
      <c r="H14" s="2">
        <f t="shared" si="0"/>
        <v>7959933542.2314901</v>
      </c>
      <c r="I14" s="2">
        <f t="shared" si="0"/>
        <v>9373327989.7693214</v>
      </c>
      <c r="J14" s="2">
        <f t="shared" si="0"/>
        <v>8053498268.1794624</v>
      </c>
      <c r="K14" s="2">
        <f t="shared" si="0"/>
        <v>2749500332174.7954</v>
      </c>
      <c r="L14" s="2">
        <f t="shared" si="0"/>
        <v>9357744005.7005596</v>
      </c>
      <c r="M14" s="2">
        <f t="shared" si="0"/>
        <v>6883151798.7223301</v>
      </c>
      <c r="N14" s="2">
        <f t="shared" si="0"/>
        <v>5572182827.0850916</v>
      </c>
      <c r="O14" s="2">
        <f t="shared" si="0"/>
        <v>10182965260.150499</v>
      </c>
      <c r="P14" s="2">
        <f t="shared" si="0"/>
        <v>467843780184.89783</v>
      </c>
      <c r="Q14" s="2">
        <f t="shared" si="0"/>
        <v>21871824.211050343</v>
      </c>
      <c r="R14" s="2">
        <f t="shared" si="0"/>
        <v>16295730.953302557</v>
      </c>
      <c r="S14" s="2">
        <f t="shared" si="0"/>
        <v>15935621.667808259</v>
      </c>
      <c r="T14" s="2">
        <f t="shared" si="0"/>
        <v>28732448.987036768</v>
      </c>
      <c r="U14" s="2">
        <f t="shared" si="0"/>
        <v>27912040307.823105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4"/>
  <sheetViews>
    <sheetView tabSelected="1" topLeftCell="Q1" workbookViewId="0">
      <selection activeCell="S5" sqref="A1:U12"/>
    </sheetView>
  </sheetViews>
  <sheetFormatPr defaultColWidth="9.33203125" defaultRowHeight="14.4" x14ac:dyDescent="0.3"/>
  <cols>
    <col min="1" max="1" width="7.33203125" bestFit="1" customWidth="1"/>
    <col min="2" max="2" width="25.44140625" bestFit="1" customWidth="1"/>
    <col min="3" max="3" width="20.33203125" bestFit="1" customWidth="1"/>
    <col min="4" max="4" width="17.88671875" bestFit="1" customWidth="1"/>
    <col min="5" max="5" width="21.33203125" bestFit="1" customWidth="1"/>
    <col min="6" max="6" width="19.77734375" bestFit="1" customWidth="1"/>
    <col min="7" max="7" width="25.44140625" bestFit="1" customWidth="1"/>
    <col min="8" max="8" width="20.33203125" bestFit="1" customWidth="1"/>
    <col min="9" max="9" width="17.88671875" bestFit="1" customWidth="1"/>
    <col min="10" max="10" width="21.33203125" bestFit="1" customWidth="1"/>
    <col min="11" max="11" width="19.77734375" bestFit="1" customWidth="1"/>
    <col min="12" max="12" width="25.77734375" bestFit="1" customWidth="1"/>
    <col min="13" max="13" width="20.6640625" bestFit="1" customWidth="1"/>
    <col min="14" max="14" width="18.21875" bestFit="1" customWidth="1"/>
    <col min="15" max="15" width="21.6640625" bestFit="1" customWidth="1"/>
    <col min="16" max="16" width="20.109375" bestFit="1" customWidth="1"/>
    <col min="17" max="17" width="29.88671875" bestFit="1" customWidth="1"/>
    <col min="18" max="18" width="24.77734375" bestFit="1" customWidth="1"/>
    <col min="19" max="19" width="22.33203125" bestFit="1" customWidth="1"/>
    <col min="20" max="20" width="25.77734375" bestFit="1" customWidth="1"/>
    <col min="21" max="21" width="24.21875" bestFit="1" customWidth="1"/>
  </cols>
  <sheetData>
    <row r="1" spans="1:2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3">
      <c r="A2" s="2" t="s">
        <v>21</v>
      </c>
      <c r="B2" s="2">
        <v>18661.057692085309</v>
      </c>
      <c r="C2" s="2">
        <v>20774.17062208433</v>
      </c>
      <c r="D2" s="2">
        <v>16950.338899757691</v>
      </c>
      <c r="E2" s="2">
        <v>22461.486281066191</v>
      </c>
      <c r="F2" s="2">
        <v>17236.45824598645</v>
      </c>
      <c r="G2" s="2">
        <v>82552.37836394021</v>
      </c>
      <c r="H2" s="2">
        <v>85748.802634763328</v>
      </c>
      <c r="I2" s="2">
        <v>89489.234732683995</v>
      </c>
      <c r="J2" s="2">
        <v>111718.0531155296</v>
      </c>
      <c r="K2" s="2">
        <v>252351.9997243041</v>
      </c>
      <c r="L2" s="2">
        <v>53689.998677466661</v>
      </c>
      <c r="M2" s="2">
        <v>55006.736959165799</v>
      </c>
      <c r="N2" s="2">
        <v>27415.21188779279</v>
      </c>
      <c r="O2" s="2">
        <v>91602.545055402035</v>
      </c>
      <c r="P2" s="2">
        <v>101018.1055279727</v>
      </c>
      <c r="Q2" s="2">
        <v>1762.590781621745</v>
      </c>
      <c r="R2" s="2">
        <v>1042.2986749891629</v>
      </c>
      <c r="S2" s="2">
        <v>5339.874296516874</v>
      </c>
      <c r="T2" s="2">
        <v>3787.5233678491918</v>
      </c>
      <c r="U2" s="2">
        <v>9368.2911077061017</v>
      </c>
    </row>
    <row r="3" spans="1:21" x14ac:dyDescent="0.3">
      <c r="A3" s="2" t="s">
        <v>22</v>
      </c>
      <c r="B3" s="2">
        <v>6072.7208444194594</v>
      </c>
      <c r="C3" s="2">
        <v>11617.305216020961</v>
      </c>
      <c r="D3" s="2">
        <v>4645.8158933044479</v>
      </c>
      <c r="E3" s="2">
        <v>13625.856788941441</v>
      </c>
      <c r="F3" s="2">
        <v>42509.402410306633</v>
      </c>
      <c r="G3" s="2">
        <v>39686.39085698955</v>
      </c>
      <c r="H3" s="2">
        <v>73457.303241471105</v>
      </c>
      <c r="I3" s="2">
        <v>114576.4936476938</v>
      </c>
      <c r="J3" s="2">
        <v>77998.734730655531</v>
      </c>
      <c r="K3" s="2">
        <v>346326.79121536692</v>
      </c>
      <c r="L3" s="2">
        <v>51029.796433482559</v>
      </c>
      <c r="M3" s="2">
        <v>55882.781336088643</v>
      </c>
      <c r="N3" s="2">
        <v>41173.56936883663</v>
      </c>
      <c r="O3" s="2">
        <v>94045.960809100696</v>
      </c>
      <c r="P3" s="2">
        <v>52818.761301009647</v>
      </c>
      <c r="Q3" s="2">
        <v>2945.3599916631269</v>
      </c>
      <c r="R3" s="2">
        <v>1773.5547351809901</v>
      </c>
      <c r="S3" s="2">
        <v>3820.354203019413</v>
      </c>
      <c r="T3" s="2">
        <v>5201.7898077941172</v>
      </c>
      <c r="U3" s="2">
        <v>1783.4600565279941</v>
      </c>
    </row>
    <row r="4" spans="1:21" x14ac:dyDescent="0.3">
      <c r="A4" s="2" t="s">
        <v>23</v>
      </c>
      <c r="B4" s="2">
        <v>3421.7836824873038</v>
      </c>
      <c r="C4" s="2">
        <v>2078.2106918263548</v>
      </c>
      <c r="D4" s="2">
        <v>3001.8183292994672</v>
      </c>
      <c r="E4" s="2">
        <v>2393.7007429139958</v>
      </c>
      <c r="F4" s="2">
        <v>6961.2743483080958</v>
      </c>
      <c r="G4" s="2">
        <v>51040.961784211569</v>
      </c>
      <c r="H4" s="2">
        <v>117177.0227814508</v>
      </c>
      <c r="I4" s="2">
        <v>101834.60980637959</v>
      </c>
      <c r="J4" s="2">
        <v>23939.620755857919</v>
      </c>
      <c r="K4" s="2">
        <v>57042.007765889619</v>
      </c>
      <c r="L4" s="2">
        <v>58689.801453534346</v>
      </c>
      <c r="M4" s="2">
        <v>46128.296568454512</v>
      </c>
      <c r="N4" s="2">
        <v>48145.158079502362</v>
      </c>
      <c r="O4" s="2">
        <v>64454.768716612423</v>
      </c>
      <c r="P4" s="2">
        <v>75351.135784717451</v>
      </c>
      <c r="Q4" s="2">
        <v>2965.8100584613849</v>
      </c>
      <c r="R4" s="2">
        <v>3002.777135925468</v>
      </c>
      <c r="S4" s="2">
        <v>2451.1916639315091</v>
      </c>
      <c r="T4" s="2">
        <v>6042.2823258957214</v>
      </c>
      <c r="U4" s="2">
        <v>2303.1338020354278</v>
      </c>
    </row>
    <row r="5" spans="1:21" x14ac:dyDescent="0.3">
      <c r="A5" s="2" t="s">
        <v>24</v>
      </c>
      <c r="B5" s="2">
        <v>6266.6539086762832</v>
      </c>
      <c r="C5" s="2">
        <v>1831.2268764107851</v>
      </c>
      <c r="D5" s="2">
        <v>8910.4734939685241</v>
      </c>
      <c r="E5" s="2">
        <v>3940.4037552948889</v>
      </c>
      <c r="F5" s="2">
        <v>7789.2627058859289</v>
      </c>
      <c r="G5" s="2">
        <v>67156.54630711666</v>
      </c>
      <c r="H5" s="2">
        <v>49672.574842745351</v>
      </c>
      <c r="I5" s="2">
        <v>107556.3254189492</v>
      </c>
      <c r="J5" s="2">
        <v>112392.8427901262</v>
      </c>
      <c r="K5" s="2">
        <v>155192.5141010056</v>
      </c>
      <c r="L5" s="2">
        <v>60767.901525603353</v>
      </c>
      <c r="M5" s="2">
        <v>50682.754901616368</v>
      </c>
      <c r="N5" s="2">
        <v>55527.177177965154</v>
      </c>
      <c r="O5" s="2">
        <v>60975.632865402949</v>
      </c>
      <c r="P5" s="2">
        <v>57814.593025208131</v>
      </c>
      <c r="Q5" s="2">
        <v>2484.9173524592102</v>
      </c>
      <c r="R5" s="2">
        <v>1672.2495236317459</v>
      </c>
      <c r="S5" s="2">
        <v>3527.3981820559729</v>
      </c>
      <c r="T5" s="2">
        <v>2182.912835110857</v>
      </c>
      <c r="U5" s="2">
        <v>3092.3092558640651</v>
      </c>
    </row>
    <row r="6" spans="1:21" x14ac:dyDescent="0.3">
      <c r="A6" s="2" t="s">
        <v>25</v>
      </c>
      <c r="B6" s="2">
        <v>5074.2545425952549</v>
      </c>
      <c r="C6" s="2">
        <v>5792.6312801384965</v>
      </c>
      <c r="D6" s="2">
        <v>10225.986961760669</v>
      </c>
      <c r="E6" s="2">
        <v>5852.7123297299649</v>
      </c>
      <c r="F6" s="2">
        <v>8227.2346013364822</v>
      </c>
      <c r="G6" s="2">
        <v>48816.141694437007</v>
      </c>
      <c r="H6" s="2">
        <v>51986.491998660793</v>
      </c>
      <c r="I6" s="2">
        <v>118469.22052239841</v>
      </c>
      <c r="J6" s="2">
        <v>108916.6855414976</v>
      </c>
      <c r="K6" s="2">
        <v>112284.958920052</v>
      </c>
      <c r="L6" s="2">
        <v>40410.712522139649</v>
      </c>
      <c r="M6" s="2">
        <v>65853.40453576544</v>
      </c>
      <c r="N6" s="2">
        <v>49742.80362131774</v>
      </c>
      <c r="O6" s="2">
        <v>44227.469682622228</v>
      </c>
      <c r="P6" s="2">
        <v>66246.465535902898</v>
      </c>
      <c r="Q6" s="2">
        <v>1978.2662204956659</v>
      </c>
      <c r="R6" s="2">
        <v>2140.9153837340918</v>
      </c>
      <c r="S6" s="2">
        <v>3978.077601578319</v>
      </c>
      <c r="T6" s="2">
        <v>7490.8819510329931</v>
      </c>
      <c r="U6" s="2">
        <v>2981.8832227370381</v>
      </c>
    </row>
    <row r="7" spans="1:21" x14ac:dyDescent="0.3">
      <c r="A7" s="2" t="s">
        <v>26</v>
      </c>
      <c r="B7" s="2">
        <v>5289.0892880379597</v>
      </c>
      <c r="C7" s="2">
        <v>4158.0252702919734</v>
      </c>
      <c r="D7" s="2">
        <v>12909.077455093689</v>
      </c>
      <c r="E7" s="2">
        <v>7983.5261270684496</v>
      </c>
      <c r="F7" s="2">
        <v>7629.9375240232202</v>
      </c>
      <c r="G7" s="2">
        <v>50624.939503393172</v>
      </c>
      <c r="H7" s="2">
        <v>78614.274939746683</v>
      </c>
      <c r="I7" s="2">
        <v>94668.690497832591</v>
      </c>
      <c r="J7" s="2">
        <v>132275.11856457239</v>
      </c>
      <c r="K7" s="2">
        <v>76496.187673617882</v>
      </c>
      <c r="L7" s="2">
        <v>37142.131203155797</v>
      </c>
      <c r="M7" s="2">
        <v>51558.422931230147</v>
      </c>
      <c r="N7" s="2">
        <v>71801.121138849558</v>
      </c>
      <c r="O7" s="2">
        <v>70063.099961043321</v>
      </c>
      <c r="P7" s="2">
        <v>32034.300927391188</v>
      </c>
      <c r="Q7" s="2">
        <v>2441.5790864360401</v>
      </c>
      <c r="R7" s="2">
        <v>1760.9126627802241</v>
      </c>
      <c r="S7" s="2">
        <v>3985.1396965482199</v>
      </c>
      <c r="T7" s="2">
        <v>3560.4758811663992</v>
      </c>
      <c r="U7" s="2">
        <v>4550.0496830784996</v>
      </c>
    </row>
    <row r="8" spans="1:21" x14ac:dyDescent="0.3">
      <c r="A8" s="2" t="s">
        <v>27</v>
      </c>
      <c r="B8" s="2">
        <v>4672.1098900614297</v>
      </c>
      <c r="C8" s="2">
        <v>4399.9031371442288</v>
      </c>
      <c r="D8" s="2">
        <v>8383.3970960170009</v>
      </c>
      <c r="E8" s="2">
        <v>9703.6640763581672</v>
      </c>
      <c r="F8" s="2">
        <v>11594.82494131919</v>
      </c>
      <c r="G8" s="2">
        <v>59146.869698479903</v>
      </c>
      <c r="H8" s="2">
        <v>60170.541963727221</v>
      </c>
      <c r="I8" s="2">
        <v>48844.89086834441</v>
      </c>
      <c r="J8" s="2">
        <v>28893.29947429421</v>
      </c>
      <c r="K8" s="2">
        <v>64681.527373394667</v>
      </c>
      <c r="L8" s="2">
        <v>54626.808847094479</v>
      </c>
      <c r="M8" s="2">
        <v>58890.66862688808</v>
      </c>
      <c r="N8" s="2">
        <v>76332.734317555107</v>
      </c>
      <c r="O8" s="2">
        <v>68390.874035368994</v>
      </c>
      <c r="P8" s="2">
        <v>43985.879346312831</v>
      </c>
      <c r="Q8" s="2">
        <v>3144.517245499746</v>
      </c>
      <c r="R8" s="2">
        <v>2161.05808851749</v>
      </c>
      <c r="S8" s="2">
        <v>3192.774254397159</v>
      </c>
      <c r="T8" s="2">
        <v>3970.5540218078731</v>
      </c>
      <c r="U8" s="2">
        <v>8446.6478493717132</v>
      </c>
    </row>
    <row r="9" spans="1:21" x14ac:dyDescent="0.3">
      <c r="A9" s="2" t="s">
        <v>28</v>
      </c>
      <c r="B9" s="2">
        <v>7985.0255519385564</v>
      </c>
      <c r="C9" s="2">
        <v>4976.8585524006239</v>
      </c>
      <c r="D9" s="2">
        <v>9748.5776002035054</v>
      </c>
      <c r="E9" s="2">
        <v>12340.14880005868</v>
      </c>
      <c r="F9" s="2">
        <v>18490.103352674781</v>
      </c>
      <c r="G9" s="2">
        <v>93099.53542619558</v>
      </c>
      <c r="H9" s="2">
        <v>103784.7409000245</v>
      </c>
      <c r="I9" s="2">
        <v>93391.670204141759</v>
      </c>
      <c r="J9" s="2">
        <v>56794.74779490591</v>
      </c>
      <c r="K9" s="2">
        <v>127430.7422059713</v>
      </c>
      <c r="L9" s="2">
        <v>71742.825883011523</v>
      </c>
      <c r="M9" s="2">
        <v>57200.906859647614</v>
      </c>
      <c r="N9" s="2">
        <v>93857.584073936014</v>
      </c>
      <c r="O9" s="2">
        <v>90835.845880935856</v>
      </c>
      <c r="P9" s="2">
        <v>82811.844655877416</v>
      </c>
      <c r="Q9" s="2">
        <v>5781.0443756898248</v>
      </c>
      <c r="R9" s="2">
        <v>3432.6938823320679</v>
      </c>
      <c r="S9" s="2">
        <v>4643.784508322391</v>
      </c>
      <c r="T9" s="2">
        <v>6165.0756532247988</v>
      </c>
      <c r="U9" s="2">
        <v>12183.704546426099</v>
      </c>
    </row>
    <row r="10" spans="1:21" x14ac:dyDescent="0.3">
      <c r="A10" s="2" t="s">
        <v>29</v>
      </c>
      <c r="B10" s="2">
        <v>13253.21019721548</v>
      </c>
      <c r="C10" s="2">
        <v>9506.6487572998412</v>
      </c>
      <c r="D10" s="2">
        <v>14622.597219300509</v>
      </c>
      <c r="E10" s="2">
        <v>12121.198719843849</v>
      </c>
      <c r="F10" s="2">
        <v>342344.03140342311</v>
      </c>
      <c r="G10" s="2">
        <v>89206.19317416742</v>
      </c>
      <c r="H10" s="2">
        <v>78734.629145840736</v>
      </c>
      <c r="I10" s="2">
        <v>105663.6846006282</v>
      </c>
      <c r="J10" s="2">
        <v>65849.442167351794</v>
      </c>
      <c r="K10" s="2">
        <v>2278546.9881789628</v>
      </c>
      <c r="L10" s="2">
        <v>101916.1042490103</v>
      </c>
      <c r="M10" s="2">
        <v>95021.525982005216</v>
      </c>
      <c r="N10" s="2">
        <v>86382.956345503582</v>
      </c>
      <c r="O10" s="2">
        <v>102122.028810897</v>
      </c>
      <c r="P10" s="2">
        <v>772340.62463961239</v>
      </c>
      <c r="Q10" s="2">
        <v>7269.1563542575532</v>
      </c>
      <c r="R10" s="2">
        <v>6587.9150766404982</v>
      </c>
      <c r="S10" s="2">
        <v>4797.0213340227774</v>
      </c>
      <c r="T10" s="2">
        <v>6539.0376048693261</v>
      </c>
      <c r="U10" s="2">
        <v>187952.0697854801</v>
      </c>
    </row>
    <row r="11" spans="1:21" x14ac:dyDescent="0.3">
      <c r="A11" s="2" t="s">
        <v>30</v>
      </c>
      <c r="B11" s="2">
        <v>19303.642086528162</v>
      </c>
      <c r="C11" s="2">
        <v>24625.32797583134</v>
      </c>
      <c r="D11" s="2">
        <v>19100.873352353519</v>
      </c>
      <c r="E11" s="2">
        <v>17817.078671366271</v>
      </c>
      <c r="F11" s="2">
        <v>570326.37719217141</v>
      </c>
      <c r="G11" s="2">
        <v>108124.9591714642</v>
      </c>
      <c r="H11" s="2">
        <v>94715.270571488829</v>
      </c>
      <c r="I11" s="2">
        <v>58149.768133341837</v>
      </c>
      <c r="J11" s="2">
        <v>58941.71340491085</v>
      </c>
      <c r="K11" s="2">
        <v>3402912.3306465051</v>
      </c>
      <c r="L11" s="2">
        <v>164553.28799044329</v>
      </c>
      <c r="M11" s="2">
        <v>117866.77704428681</v>
      </c>
      <c r="N11" s="2">
        <v>93423.758915618586</v>
      </c>
      <c r="O11" s="2">
        <v>138430.74952709771</v>
      </c>
      <c r="P11" s="2">
        <v>982636.51209003956</v>
      </c>
      <c r="Q11" s="2">
        <v>7399.2978197834627</v>
      </c>
      <c r="R11" s="2">
        <v>8676.3884215165126</v>
      </c>
      <c r="S11" s="2">
        <v>3211.3693991999762</v>
      </c>
      <c r="T11" s="2">
        <v>5373.5762874869661</v>
      </c>
      <c r="U11" s="2">
        <v>322965.19474589551</v>
      </c>
    </row>
    <row r="12" spans="1:21" x14ac:dyDescent="0.3">
      <c r="A12" s="2" t="s">
        <v>31</v>
      </c>
      <c r="B12" s="2">
        <v>30374.16056594365</v>
      </c>
      <c r="C12" s="2">
        <v>33624.152353578269</v>
      </c>
      <c r="D12" s="2">
        <v>30216.00588771722</v>
      </c>
      <c r="E12" s="2">
        <v>29294.799801411649</v>
      </c>
      <c r="F12" s="2">
        <v>753414.88604458713</v>
      </c>
      <c r="G12" s="2">
        <v>174815.47793592731</v>
      </c>
      <c r="H12" s="2">
        <v>142013.8254101424</v>
      </c>
      <c r="I12" s="2">
        <v>106680.39458689409</v>
      </c>
      <c r="J12" s="2">
        <v>124852.73830001841</v>
      </c>
      <c r="K12" s="2">
        <v>3636354.051599646</v>
      </c>
      <c r="L12" s="2">
        <v>204212.96611400289</v>
      </c>
      <c r="M12" s="2">
        <v>167966.71707429949</v>
      </c>
      <c r="N12" s="2">
        <v>122434.62331486</v>
      </c>
      <c r="O12" s="2">
        <v>193698.6139880206</v>
      </c>
      <c r="P12" s="2">
        <v>1883606.879585827</v>
      </c>
      <c r="Q12" s="2">
        <v>7284.4903900184263</v>
      </c>
      <c r="R12" s="2">
        <v>4515.5106052791862</v>
      </c>
      <c r="S12" s="2">
        <v>4116.1033996990973</v>
      </c>
      <c r="T12" s="2">
        <v>6259.4417777713834</v>
      </c>
      <c r="U12" s="2">
        <v>408711.08417342883</v>
      </c>
    </row>
    <row r="14" spans="1:21" x14ac:dyDescent="0.3">
      <c r="B14" s="2">
        <f>AVERAGE(B2:B12)</f>
        <v>10943.064386362621</v>
      </c>
      <c r="C14" s="2">
        <f t="shared" ref="C14:U14" si="0">AVERAGE(C2:C12)</f>
        <v>11216.769157547928</v>
      </c>
      <c r="D14" s="2">
        <f t="shared" si="0"/>
        <v>12610.451108070567</v>
      </c>
      <c r="E14" s="2">
        <f t="shared" si="0"/>
        <v>12503.143281277595</v>
      </c>
      <c r="F14" s="2">
        <f t="shared" si="0"/>
        <v>162411.25388818386</v>
      </c>
      <c r="G14" s="2">
        <f t="shared" si="0"/>
        <v>78570.035810574787</v>
      </c>
      <c r="H14" s="2">
        <f t="shared" si="0"/>
        <v>85097.770766369242</v>
      </c>
      <c r="I14" s="2">
        <f t="shared" si="0"/>
        <v>94484.089365389809</v>
      </c>
      <c r="J14" s="2">
        <f t="shared" si="0"/>
        <v>82052.090603610952</v>
      </c>
      <c r="K14" s="2">
        <f t="shared" si="0"/>
        <v>955420.00903679244</v>
      </c>
      <c r="L14" s="2">
        <f t="shared" si="0"/>
        <v>81707.484990813173</v>
      </c>
      <c r="M14" s="2">
        <f t="shared" si="0"/>
        <v>74732.635710858915</v>
      </c>
      <c r="N14" s="2">
        <f t="shared" si="0"/>
        <v>69657.881658339771</v>
      </c>
      <c r="O14" s="2">
        <f t="shared" si="0"/>
        <v>92622.508121136707</v>
      </c>
      <c r="P14" s="2">
        <f t="shared" si="0"/>
        <v>377333.19112907915</v>
      </c>
      <c r="Q14" s="2">
        <f t="shared" si="0"/>
        <v>4132.4572433078356</v>
      </c>
      <c r="R14" s="2">
        <f t="shared" si="0"/>
        <v>3342.3885627752215</v>
      </c>
      <c r="S14" s="2">
        <f t="shared" si="0"/>
        <v>3914.8262308447006</v>
      </c>
      <c r="T14" s="2">
        <f t="shared" si="0"/>
        <v>5143.0501376372395</v>
      </c>
      <c r="U14" s="2">
        <f t="shared" si="0"/>
        <v>87667.075293504677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4"/>
  <sheetViews>
    <sheetView topLeftCell="S1" workbookViewId="0">
      <selection activeCell="U14" sqref="U14"/>
    </sheetView>
  </sheetViews>
  <sheetFormatPr defaultRowHeight="14.4" x14ac:dyDescent="0.3"/>
  <cols>
    <col min="2" max="21" width="35.5546875" style="1" customWidth="1"/>
  </cols>
  <sheetData>
    <row r="1" spans="1:21" x14ac:dyDescent="0.3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</row>
    <row r="2" spans="1:21" x14ac:dyDescent="0.3">
      <c r="A2" s="2" t="s">
        <v>21</v>
      </c>
      <c r="B2" s="3">
        <v>63.090728071244413</v>
      </c>
      <c r="C2" s="3">
        <v>59.758935470305097</v>
      </c>
      <c r="D2" s="3">
        <v>60.238589992107137</v>
      </c>
      <c r="E2" s="3">
        <v>76.714660380815445</v>
      </c>
      <c r="F2" s="3">
        <v>54.638854662438838</v>
      </c>
      <c r="G2" s="3">
        <v>40.914342942561483</v>
      </c>
      <c r="H2" s="3">
        <v>38.955053889794151</v>
      </c>
      <c r="I2" s="3">
        <v>31.946746659372749</v>
      </c>
      <c r="J2" s="3">
        <v>54.909842650362251</v>
      </c>
      <c r="K2" s="3">
        <v>104.8854280101331</v>
      </c>
      <c r="L2" s="3">
        <v>13.0294912366881</v>
      </c>
      <c r="M2" s="3">
        <v>12.67570178037092</v>
      </c>
      <c r="N2" s="3">
        <v>6.6876492574694586</v>
      </c>
      <c r="O2" s="3">
        <v>26.540130937077869</v>
      </c>
      <c r="P2" s="3">
        <v>27.734535489624712</v>
      </c>
      <c r="Q2" s="3">
        <v>7.8008226511368584</v>
      </c>
      <c r="R2" s="3">
        <v>4.1639458057215526</v>
      </c>
      <c r="S2" s="3">
        <v>21.247098453933191</v>
      </c>
      <c r="T2" s="3">
        <v>15.1233111019635</v>
      </c>
      <c r="U2" s="3">
        <v>30.104919309561549</v>
      </c>
    </row>
    <row r="3" spans="1:21" x14ac:dyDescent="0.3">
      <c r="A3" s="2" t="s">
        <v>22</v>
      </c>
      <c r="B3" s="3">
        <v>15.70884218415728</v>
      </c>
      <c r="C3" s="3">
        <v>25.480818531008271</v>
      </c>
      <c r="D3" s="3">
        <v>11.79810758032443</v>
      </c>
      <c r="E3" s="3">
        <v>31.332309958465071</v>
      </c>
      <c r="F3" s="3">
        <v>104.70118114299029</v>
      </c>
      <c r="G3" s="3">
        <v>13.709369077843849</v>
      </c>
      <c r="H3" s="3">
        <v>22.533372846881349</v>
      </c>
      <c r="I3" s="3">
        <v>45.826388096987962</v>
      </c>
      <c r="J3" s="3">
        <v>31.251027687317251</v>
      </c>
      <c r="K3" s="3">
        <v>131.1665394721272</v>
      </c>
      <c r="L3" s="3">
        <v>7.1866327193437316</v>
      </c>
      <c r="M3" s="3">
        <v>12.6963764669278</v>
      </c>
      <c r="N3" s="3">
        <v>7.9274841264864078</v>
      </c>
      <c r="O3" s="3">
        <v>22.704584125443269</v>
      </c>
      <c r="P3" s="3">
        <v>8.319157549697108</v>
      </c>
      <c r="Q3" s="3">
        <v>11.373066256637561</v>
      </c>
      <c r="R3" s="3">
        <v>7.3740137915010147</v>
      </c>
      <c r="S3" s="3">
        <v>14.40621480994289</v>
      </c>
      <c r="T3" s="3">
        <v>18.42782481295378</v>
      </c>
      <c r="U3" s="3">
        <v>7.1748240994862682</v>
      </c>
    </row>
    <row r="4" spans="1:21" x14ac:dyDescent="0.3">
      <c r="A4" s="2" t="s">
        <v>23</v>
      </c>
      <c r="B4" s="3">
        <v>5.3452657140004272</v>
      </c>
      <c r="C4" s="3">
        <v>3.6197198347154602</v>
      </c>
      <c r="D4" s="3">
        <v>5.8388089750050653</v>
      </c>
      <c r="E4" s="3">
        <v>4.5567016360580466</v>
      </c>
      <c r="F4" s="3">
        <v>11.726049831124611</v>
      </c>
      <c r="G4" s="3">
        <v>14.29269706145184</v>
      </c>
      <c r="H4" s="3">
        <v>38.550797198150008</v>
      </c>
      <c r="I4" s="3">
        <v>33.625100694995737</v>
      </c>
      <c r="J4" s="3">
        <v>6.852516992720818</v>
      </c>
      <c r="K4" s="3">
        <v>18.344423024026462</v>
      </c>
      <c r="L4" s="3">
        <v>9.9117642356330382</v>
      </c>
      <c r="M4" s="3">
        <v>5.9520732342118468</v>
      </c>
      <c r="N4" s="3">
        <v>9.2946060677716158</v>
      </c>
      <c r="O4" s="3">
        <v>11.87872227115337</v>
      </c>
      <c r="P4" s="3">
        <v>13.251444015615981</v>
      </c>
      <c r="Q4" s="3">
        <v>9.9911548499425571</v>
      </c>
      <c r="R4" s="3">
        <v>7.9832613065238176</v>
      </c>
      <c r="S4" s="3">
        <v>9.335365890121734</v>
      </c>
      <c r="T4" s="3">
        <v>23.70209566562465</v>
      </c>
      <c r="U4" s="3">
        <v>8.6223107913307402</v>
      </c>
    </row>
    <row r="5" spans="1:21" x14ac:dyDescent="0.3">
      <c r="A5" s="2" t="s">
        <v>24</v>
      </c>
      <c r="B5" s="3">
        <v>11.12997670376766</v>
      </c>
      <c r="C5" s="3">
        <v>3.3649174808404232</v>
      </c>
      <c r="D5" s="3">
        <v>14.5719141699978</v>
      </c>
      <c r="E5" s="3">
        <v>5.8524225537391477</v>
      </c>
      <c r="F5" s="3">
        <v>11.11049705537773</v>
      </c>
      <c r="G5" s="3">
        <v>23.065934748932669</v>
      </c>
      <c r="H5" s="3">
        <v>17.305482981602051</v>
      </c>
      <c r="I5" s="3">
        <v>35.5429417555359</v>
      </c>
      <c r="J5" s="3">
        <v>41.86199810181008</v>
      </c>
      <c r="K5" s="3">
        <v>56.917955824680163</v>
      </c>
      <c r="L5" s="3">
        <v>10.744093590033989</v>
      </c>
      <c r="M5" s="3">
        <v>8.2043318904329414</v>
      </c>
      <c r="N5" s="3">
        <v>10.841238511069569</v>
      </c>
      <c r="O5" s="3">
        <v>11.843648913496249</v>
      </c>
      <c r="P5" s="3">
        <v>8.8313522004888139</v>
      </c>
      <c r="Q5" s="3">
        <v>7.5822246306967171</v>
      </c>
      <c r="R5" s="3">
        <v>5.7001101040864857</v>
      </c>
      <c r="S5" s="3">
        <v>11.6437377294593</v>
      </c>
      <c r="T5" s="3">
        <v>7.4459501161405779</v>
      </c>
      <c r="U5" s="3">
        <v>9.9281967244252876</v>
      </c>
    </row>
    <row r="6" spans="1:21" x14ac:dyDescent="0.3">
      <c r="A6" s="2" t="s">
        <v>25</v>
      </c>
      <c r="B6" s="3">
        <v>9.7150846567481981</v>
      </c>
      <c r="C6" s="3">
        <v>10.203031018227019</v>
      </c>
      <c r="D6" s="3">
        <v>18.844776141621871</v>
      </c>
      <c r="E6" s="3">
        <v>11.15800715022821</v>
      </c>
      <c r="F6" s="3">
        <v>11.943401849336141</v>
      </c>
      <c r="G6" s="3">
        <v>16.62127410915312</v>
      </c>
      <c r="H6" s="3">
        <v>17.259186205246991</v>
      </c>
      <c r="I6" s="3">
        <v>41.92732017685708</v>
      </c>
      <c r="J6" s="3">
        <v>36.386134916252757</v>
      </c>
      <c r="K6" s="3">
        <v>40.206197540532443</v>
      </c>
      <c r="L6" s="3">
        <v>6.8550056967564013</v>
      </c>
      <c r="M6" s="3">
        <v>12.342625832214781</v>
      </c>
      <c r="N6" s="3">
        <v>9.21764497675664</v>
      </c>
      <c r="O6" s="3">
        <v>7.9553266073552411</v>
      </c>
      <c r="P6" s="3">
        <v>10.0117900416765</v>
      </c>
      <c r="Q6" s="3">
        <v>6.9017537971856457</v>
      </c>
      <c r="R6" s="3">
        <v>7.5654469647329288</v>
      </c>
      <c r="S6" s="3">
        <v>12.232851610183619</v>
      </c>
      <c r="T6" s="3">
        <v>28.384904919981022</v>
      </c>
      <c r="U6" s="3">
        <v>9.6205634701014198</v>
      </c>
    </row>
    <row r="7" spans="1:21" x14ac:dyDescent="0.3">
      <c r="A7" s="2" t="s">
        <v>26</v>
      </c>
      <c r="B7" s="3">
        <v>9.5731963397851843</v>
      </c>
      <c r="C7" s="3">
        <v>8.5743336168133286</v>
      </c>
      <c r="D7" s="3">
        <v>27.615798496719211</v>
      </c>
      <c r="E7" s="3">
        <v>16.91702819633749</v>
      </c>
      <c r="F7" s="3">
        <v>14.049941592978451</v>
      </c>
      <c r="G7" s="3">
        <v>16.458536220424989</v>
      </c>
      <c r="H7" s="3">
        <v>28.40472977672324</v>
      </c>
      <c r="I7" s="3">
        <v>34.136239254289627</v>
      </c>
      <c r="J7" s="3">
        <v>47.92396586798035</v>
      </c>
      <c r="K7" s="3">
        <v>27.562508871439761</v>
      </c>
      <c r="L7" s="3">
        <v>6.67676507614242</v>
      </c>
      <c r="M7" s="3">
        <v>8.4091287560177186</v>
      </c>
      <c r="N7" s="3">
        <v>12.59266822747886</v>
      </c>
      <c r="O7" s="3">
        <v>11.2774493767783</v>
      </c>
      <c r="P7" s="3">
        <v>4.4943224424918347</v>
      </c>
      <c r="Q7" s="3">
        <v>7.8771681937002862</v>
      </c>
      <c r="R7" s="3">
        <v>5.8156215669471596</v>
      </c>
      <c r="S7" s="3">
        <v>13.35123249347329</v>
      </c>
      <c r="T7" s="3">
        <v>11.923303731701729</v>
      </c>
      <c r="U7" s="3">
        <v>14.61352719048951</v>
      </c>
    </row>
    <row r="8" spans="1:21" x14ac:dyDescent="0.3">
      <c r="A8" s="2" t="s">
        <v>27</v>
      </c>
      <c r="B8" s="3">
        <v>6.8591801985379126</v>
      </c>
      <c r="C8" s="3">
        <v>7.4136567426707893</v>
      </c>
      <c r="D8" s="3">
        <v>15.56793586136893</v>
      </c>
      <c r="E8" s="3">
        <v>13.95343525018148</v>
      </c>
      <c r="F8" s="3">
        <v>16.104615591522599</v>
      </c>
      <c r="G8" s="3">
        <v>11.33716187820807</v>
      </c>
      <c r="H8" s="3">
        <v>9.5914980481994636</v>
      </c>
      <c r="I8" s="3">
        <v>13.330390919608281</v>
      </c>
      <c r="J8" s="3">
        <v>8.4389163131860947</v>
      </c>
      <c r="K8" s="3">
        <v>12.27881191413524</v>
      </c>
      <c r="L8" s="3">
        <v>9.7867514889562504</v>
      </c>
      <c r="M8" s="3">
        <v>9.7351493383413139</v>
      </c>
      <c r="N8" s="3">
        <v>13.1669613824942</v>
      </c>
      <c r="O8" s="3">
        <v>10.32374612921655</v>
      </c>
      <c r="P8" s="3">
        <v>6.9935094514604854</v>
      </c>
      <c r="Q8" s="3">
        <v>8.4148878205702999</v>
      </c>
      <c r="R8" s="3">
        <v>6.1688530388808118</v>
      </c>
      <c r="S8" s="3">
        <v>9.499303843678792</v>
      </c>
      <c r="T8" s="3">
        <v>10.81569193836463</v>
      </c>
      <c r="U8" s="3">
        <v>26.688176866526909</v>
      </c>
    </row>
    <row r="9" spans="1:21" x14ac:dyDescent="0.3">
      <c r="A9" s="2" t="s">
        <v>28</v>
      </c>
      <c r="B9" s="3">
        <v>11.08108886404648</v>
      </c>
      <c r="C9" s="3">
        <v>7.5850565292381944</v>
      </c>
      <c r="D9" s="3">
        <v>17.159611168068889</v>
      </c>
      <c r="E9" s="3">
        <v>17.476642631243301</v>
      </c>
      <c r="F9" s="3">
        <v>29.262064056055191</v>
      </c>
      <c r="G9" s="3">
        <v>19.028166712859349</v>
      </c>
      <c r="H9" s="3">
        <v>21.30058227596863</v>
      </c>
      <c r="I9" s="3">
        <v>18.816313967565868</v>
      </c>
      <c r="J9" s="3">
        <v>11.079237112912571</v>
      </c>
      <c r="K9" s="3">
        <v>24.547344646569979</v>
      </c>
      <c r="L9" s="3">
        <v>12.1038335517247</v>
      </c>
      <c r="M9" s="3">
        <v>8.8774836795804006</v>
      </c>
      <c r="N9" s="3">
        <v>16.663898138220951</v>
      </c>
      <c r="O9" s="3">
        <v>15.58894925294371</v>
      </c>
      <c r="P9" s="3">
        <v>13.16423834855518</v>
      </c>
      <c r="Q9" s="3">
        <v>14.076940532779449</v>
      </c>
      <c r="R9" s="3">
        <v>9.148563163479988</v>
      </c>
      <c r="S9" s="3">
        <v>11.426805023360449</v>
      </c>
      <c r="T9" s="3">
        <v>15.11227591637725</v>
      </c>
      <c r="U9" s="3">
        <v>38.249628189745813</v>
      </c>
    </row>
    <row r="10" spans="1:21" x14ac:dyDescent="0.3">
      <c r="A10" s="2" t="s">
        <v>29</v>
      </c>
      <c r="B10" s="3">
        <v>32.092573654497627</v>
      </c>
      <c r="C10" s="3">
        <v>22.68441234299554</v>
      </c>
      <c r="D10" s="3">
        <v>35.190960436300109</v>
      </c>
      <c r="E10" s="3">
        <v>20.19672986718173</v>
      </c>
      <c r="F10" s="3">
        <v>707.94678637754589</v>
      </c>
      <c r="G10" s="3">
        <v>20.44162596226063</v>
      </c>
      <c r="H10" s="3">
        <v>15.501241863989939</v>
      </c>
      <c r="I10" s="3">
        <v>24.693996040082901</v>
      </c>
      <c r="J10" s="3">
        <v>18.29922517489014</v>
      </c>
      <c r="K10" s="3">
        <v>565.25997417318865</v>
      </c>
      <c r="L10" s="3">
        <v>31.599132713173031</v>
      </c>
      <c r="M10" s="3">
        <v>29.222494176498369</v>
      </c>
      <c r="N10" s="3">
        <v>16.47930007333116</v>
      </c>
      <c r="O10" s="3">
        <v>30.57816075759419</v>
      </c>
      <c r="P10" s="3">
        <v>228.36205600605851</v>
      </c>
      <c r="Q10" s="3">
        <v>32.244494187792768</v>
      </c>
      <c r="R10" s="3">
        <v>31.028850547394121</v>
      </c>
      <c r="S10" s="3">
        <v>15.819985820379131</v>
      </c>
      <c r="T10" s="3">
        <v>23.64014478017123</v>
      </c>
      <c r="U10" s="3">
        <v>791.60474633760839</v>
      </c>
    </row>
    <row r="11" spans="1:21" x14ac:dyDescent="0.3">
      <c r="A11" s="2" t="s">
        <v>30</v>
      </c>
      <c r="B11" s="3">
        <v>59.655969705265392</v>
      </c>
      <c r="C11" s="3">
        <v>74.180642344962067</v>
      </c>
      <c r="D11" s="3">
        <v>59.888149789220378</v>
      </c>
      <c r="E11" s="3">
        <v>54.58596065801887</v>
      </c>
      <c r="F11" s="3">
        <v>1711.9872108580639</v>
      </c>
      <c r="G11" s="3">
        <v>38.887137725820253</v>
      </c>
      <c r="H11" s="3">
        <v>33.46364262822199</v>
      </c>
      <c r="I11" s="3">
        <v>20.582644893734841</v>
      </c>
      <c r="J11" s="3">
        <v>20.68665990310879</v>
      </c>
      <c r="K11" s="3">
        <v>1129.795433205617</v>
      </c>
      <c r="L11" s="3">
        <v>69.055291413834439</v>
      </c>
      <c r="M11" s="3">
        <v>50.215023209637543</v>
      </c>
      <c r="N11" s="3">
        <v>28.549932017991569</v>
      </c>
      <c r="O11" s="3">
        <v>57.825175632020063</v>
      </c>
      <c r="P11" s="3">
        <v>370.1752129496237</v>
      </c>
      <c r="Q11" s="3">
        <v>36.349288248997439</v>
      </c>
      <c r="R11" s="3">
        <v>39.789776542294462</v>
      </c>
      <c r="S11" s="3">
        <v>12.615674103776319</v>
      </c>
      <c r="T11" s="3">
        <v>22.217772132329269</v>
      </c>
      <c r="U11" s="3">
        <v>1746.0231207686791</v>
      </c>
    </row>
    <row r="12" spans="1:21" x14ac:dyDescent="0.3">
      <c r="A12" s="2" t="s">
        <v>31</v>
      </c>
      <c r="B12" s="3">
        <v>177.87142950244501</v>
      </c>
      <c r="C12" s="3">
        <v>196.54359213551211</v>
      </c>
      <c r="D12" s="3">
        <v>183.02512334188631</v>
      </c>
      <c r="E12" s="3">
        <v>177.03010350889829</v>
      </c>
      <c r="F12" s="3">
        <v>4177.8408802811282</v>
      </c>
      <c r="G12" s="3">
        <v>115.84310039196551</v>
      </c>
      <c r="H12" s="3">
        <v>92.370353388330969</v>
      </c>
      <c r="I12" s="3">
        <v>71.080203608969242</v>
      </c>
      <c r="J12" s="3">
        <v>82.832917962732381</v>
      </c>
      <c r="K12" s="3">
        <v>2239.8762209197371</v>
      </c>
      <c r="L12" s="3">
        <v>115.10214075603589</v>
      </c>
      <c r="M12" s="3">
        <v>97.513485174731201</v>
      </c>
      <c r="N12" s="3">
        <v>61.908666348222283</v>
      </c>
      <c r="O12" s="3">
        <v>112.4654796872119</v>
      </c>
      <c r="P12" s="3">
        <v>1024.7394849832201</v>
      </c>
      <c r="Q12" s="3">
        <v>58.895216255637813</v>
      </c>
      <c r="R12" s="3">
        <v>35.932724387986667</v>
      </c>
      <c r="S12" s="3">
        <v>32.643554589321823</v>
      </c>
      <c r="T12" s="3">
        <v>50.01211659418253</v>
      </c>
      <c r="U12" s="3">
        <v>3206.8778038563059</v>
      </c>
    </row>
    <row r="14" spans="1:21" s="5" customFormat="1" x14ac:dyDescent="0.3">
      <c r="B14" s="4">
        <f>AVERAGE(B2:B12)</f>
        <v>36.55666687222687</v>
      </c>
      <c r="C14" s="4">
        <f t="shared" ref="C14:U14" si="0">AVERAGE(C2:C12)</f>
        <v>38.128101458844391</v>
      </c>
      <c r="D14" s="4">
        <f t="shared" si="0"/>
        <v>40.885434177510916</v>
      </c>
      <c r="E14" s="4">
        <f t="shared" si="0"/>
        <v>39.070363799197011</v>
      </c>
      <c r="F14" s="4">
        <f t="shared" si="0"/>
        <v>622.84649848168749</v>
      </c>
      <c r="G14" s="4">
        <f t="shared" si="0"/>
        <v>30.054486075589253</v>
      </c>
      <c r="H14" s="4">
        <f t="shared" si="0"/>
        <v>30.47599464573716</v>
      </c>
      <c r="I14" s="4">
        <f t="shared" si="0"/>
        <v>33.773480551636382</v>
      </c>
      <c r="J14" s="4">
        <f t="shared" si="0"/>
        <v>32.774767516661228</v>
      </c>
      <c r="K14" s="4">
        <f t="shared" si="0"/>
        <v>395.53098523656246</v>
      </c>
      <c r="L14" s="4">
        <f t="shared" si="0"/>
        <v>26.550082043483823</v>
      </c>
      <c r="M14" s="4">
        <f t="shared" si="0"/>
        <v>23.25853395808771</v>
      </c>
      <c r="N14" s="4">
        <f t="shared" si="0"/>
        <v>17.575459011572068</v>
      </c>
      <c r="O14" s="4">
        <f t="shared" si="0"/>
        <v>28.998306699117336</v>
      </c>
      <c r="P14" s="4">
        <f t="shared" si="0"/>
        <v>156.00700940713753</v>
      </c>
      <c r="Q14" s="4">
        <f>AVERAGE(Q2:Q12)</f>
        <v>18.318819765916128</v>
      </c>
      <c r="R14" s="4">
        <f t="shared" si="0"/>
        <v>14.60646974723173</v>
      </c>
      <c r="S14" s="4">
        <f>AVERAGE(S2:S12)</f>
        <v>14.929256760693683</v>
      </c>
      <c r="T14" s="4">
        <f t="shared" si="0"/>
        <v>20.618671973617289</v>
      </c>
      <c r="U14" s="4">
        <f t="shared" si="0"/>
        <v>535.40980160038737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MAE</vt:lpstr>
      <vt:lpstr>MSE</vt:lpstr>
      <vt:lpstr>RMSE</vt:lpstr>
      <vt:lpstr>MAPE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Muhammad Zia Akhtar Rabbani</cp:lastModifiedBy>
  <dcterms:created xsi:type="dcterms:W3CDTF">2026-06-17T10:39:59Z</dcterms:created>
  <dcterms:modified xsi:type="dcterms:W3CDTF">2026-06-18T02:39:56Z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b525e5-f3da-4501-8f1e-526b6769fc56_Enabled">
    <vt:lpwstr>true</vt:lpwstr>
  </property>
  <property fmtid="{D5CDD505-2E9C-101B-9397-08002B2CF9AE}" pid="3" name="MSIP_Label_38b525e5-f3da-4501-8f1e-526b6769fc56_SetDate">
    <vt:lpwstr>2026-06-17T10:59:33Z</vt:lpwstr>
  </property>
  <property fmtid="{D5CDD505-2E9C-101B-9397-08002B2CF9AE}" pid="4" name="MSIP_Label_38b525e5-f3da-4501-8f1e-526b6769fc56_Method">
    <vt:lpwstr>Standard</vt:lpwstr>
  </property>
  <property fmtid="{D5CDD505-2E9C-101B-9397-08002B2CF9AE}" pid="5" name="MSIP_Label_38b525e5-f3da-4501-8f1e-526b6769fc56_Name">
    <vt:lpwstr>defa4170-0d19-0005-0004-bc88714345d2</vt:lpwstr>
  </property>
  <property fmtid="{D5CDD505-2E9C-101B-9397-08002B2CF9AE}" pid="6" name="MSIP_Label_38b525e5-f3da-4501-8f1e-526b6769fc56_SiteId">
    <vt:lpwstr>db6e1183-4c65-405c-82ce-7cd53fa6e9dc</vt:lpwstr>
  </property>
  <property fmtid="{D5CDD505-2E9C-101B-9397-08002B2CF9AE}" pid="7" name="MSIP_Label_38b525e5-f3da-4501-8f1e-526b6769fc56_ActionId">
    <vt:lpwstr>4d1c4634-43d3-4698-b185-6b0f2ee97d91</vt:lpwstr>
  </property>
  <property fmtid="{D5CDD505-2E9C-101B-9397-08002B2CF9AE}" pid="8" name="MSIP_Label_38b525e5-f3da-4501-8f1e-526b6769fc56_ContentBits">
    <vt:lpwstr>0</vt:lpwstr>
  </property>
  <property fmtid="{D5CDD505-2E9C-101B-9397-08002B2CF9AE}" pid="9" name="MSIP_Label_38b525e5-f3da-4501-8f1e-526b6769fc56_Tag">
    <vt:lpwstr>10, 3, 0, 1</vt:lpwstr>
  </property>
</Properties>
</file>