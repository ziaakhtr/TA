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aak\TA\"/>
    </mc:Choice>
  </mc:AlternateContent>
  <xr:revisionPtr revIDLastSave="0" documentId="13_ncr:1_{78B1DBF4-AA4C-48F5-BB6E-FD5B0C708C52}" xr6:coauthVersionLast="47" xr6:coauthVersionMax="47" xr10:uidLastSave="{00000000-0000-0000-0000-000000000000}"/>
  <bookViews>
    <workbookView xWindow="-108" yWindow="-108" windowWidth="23256" windowHeight="12456" activeTab="1" xr2:uid="{8E6DD43B-2508-4DCE-B52E-A33ED45460CE}"/>
  </bookViews>
  <sheets>
    <sheet name="Sheet1" sheetId="1" r:id="rId1"/>
    <sheet name="Kalkulasi Penghematan Produks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3" i="1"/>
  <c r="C20" i="1"/>
  <c r="C21" i="1" s="1"/>
  <c r="D20" i="1"/>
  <c r="D21" i="1" s="1"/>
  <c r="E20" i="1"/>
  <c r="E21" i="1" s="1"/>
  <c r="F20" i="1"/>
  <c r="F21" i="1" s="1"/>
  <c r="G20" i="1"/>
  <c r="G21" i="1" s="1"/>
  <c r="B20" i="1"/>
  <c r="B21" i="1" s="1"/>
  <c r="B16" i="1"/>
  <c r="C12" i="1"/>
  <c r="C15" i="1" s="1"/>
  <c r="D12" i="1"/>
  <c r="D15" i="1" s="1"/>
  <c r="E12" i="1"/>
  <c r="E15" i="1" s="1"/>
  <c r="F12" i="1"/>
  <c r="F15" i="1" s="1"/>
  <c r="G12" i="1"/>
  <c r="G15" i="1" s="1"/>
  <c r="B12" i="1"/>
  <c r="B15" i="1" s="1"/>
  <c r="B24" i="1" l="1"/>
  <c r="G16" i="1"/>
  <c r="G24" i="1" s="1"/>
  <c r="F16" i="1"/>
  <c r="F24" i="1" s="1"/>
  <c r="E16" i="1"/>
  <c r="E24" i="1" s="1"/>
  <c r="D16" i="1"/>
  <c r="D24" i="1" s="1"/>
  <c r="C16" i="1"/>
  <c r="C24" i="1" l="1"/>
  <c r="B2" i="1" s="1"/>
</calcChain>
</file>

<file path=xl/sharedStrings.xml><?xml version="1.0" encoding="utf-8"?>
<sst xmlns="http://schemas.openxmlformats.org/spreadsheetml/2006/main" count="23" uniqueCount="21">
  <si>
    <t>Inflasi</t>
  </si>
  <si>
    <t>Q2</t>
  </si>
  <si>
    <t>Q3</t>
  </si>
  <si>
    <t>Q4</t>
  </si>
  <si>
    <t>Q1</t>
  </si>
  <si>
    <t>Expenditure</t>
  </si>
  <si>
    <t>Pelatihan dan Sosialisasi penggunaan SPK</t>
  </si>
  <si>
    <t>Biaya Kontingensi</t>
  </si>
  <si>
    <t>Biaya Penambahan Sumber Daya Manusia</t>
  </si>
  <si>
    <r>
      <t xml:space="preserve">Biaya </t>
    </r>
    <r>
      <rPr>
        <i/>
        <sz val="11"/>
        <color theme="1"/>
        <rFont val="Aptos Narrow"/>
        <family val="2"/>
        <scheme val="minor"/>
      </rPr>
      <t>Deployment</t>
    </r>
    <r>
      <rPr>
        <sz val="11"/>
        <color theme="1"/>
        <rFont val="Aptos Narrow"/>
        <family val="2"/>
        <scheme val="minor"/>
      </rPr>
      <t xml:space="preserve"> SPK ke Intranet</t>
    </r>
  </si>
  <si>
    <t>Biaya Pengembangan Sistem Pendukung Keputusan</t>
  </si>
  <si>
    <t>Biaya Pemeliharaan</t>
  </si>
  <si>
    <t>Biaya berlangganan DBMS</t>
  </si>
  <si>
    <t>Saving</t>
  </si>
  <si>
    <t>Penghematan aktivitas produksi</t>
  </si>
  <si>
    <r>
      <t xml:space="preserve">Total </t>
    </r>
    <r>
      <rPr>
        <b/>
        <i/>
        <sz val="11"/>
        <color theme="1"/>
        <rFont val="Aptos Narrow"/>
        <family val="2"/>
        <scheme val="minor"/>
      </rPr>
      <t>Expenditure</t>
    </r>
  </si>
  <si>
    <r>
      <t xml:space="preserve">Total </t>
    </r>
    <r>
      <rPr>
        <b/>
        <i/>
        <sz val="11"/>
        <color theme="1"/>
        <rFont val="Aptos Narrow"/>
        <family val="2"/>
        <scheme val="minor"/>
      </rPr>
      <t>Saving</t>
    </r>
  </si>
  <si>
    <t>NPV</t>
  </si>
  <si>
    <t>PV Saving</t>
  </si>
  <si>
    <t>PV Cost (Abs)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</si>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</sst>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p&quot;#,##0.00;[Red]\-&quot;Rp&quot;#,##0.00"/>
    <numFmt numFmtId="44" formatCode="_-&quot;Rp&quot;* #,##0.00_-;\-&quot;Rp&quot;* #,##0.00_-;_-&quot;Rp&quot;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4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 indent="1"/>
    </xf>
    <xf numFmtId="0" fontId="0" fillId="0" borderId="1" xfId="0" applyBorder="1" applyAlignment="1">
      <alignment horizontal="left" wrapText="1" indent="1"/>
    </xf>
    <xf numFmtId="0" fontId="0" fillId="0" borderId="1" xfId="0" applyBorder="1"/>
    <xf numFmtId="44" fontId="0" fillId="0" borderId="2" xfId="0" applyNumberFormat="1" applyBorder="1"/>
    <xf numFmtId="44" fontId="0" fillId="0" borderId="3" xfId="0" applyNumberFormat="1" applyBorder="1"/>
    <xf numFmtId="0" fontId="2" fillId="0" borderId="4" xfId="0" applyFont="1" applyBorder="1" applyAlignment="1">
      <alignment wrapText="1"/>
    </xf>
    <xf numFmtId="10" fontId="0" fillId="0" borderId="4" xfId="1" applyNumberFormat="1" applyFont="1" applyBorder="1"/>
    <xf numFmtId="8" fontId="0" fillId="0" borderId="4" xfId="0" applyNumberFormat="1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/>
    </xf>
    <xf numFmtId="44" fontId="0" fillId="0" borderId="5" xfId="0" applyNumberFormat="1" applyBorder="1"/>
    <xf numFmtId="44" fontId="0" fillId="0" borderId="6" xfId="0" applyNumberFormat="1" applyBorder="1"/>
    <xf numFmtId="44" fontId="0" fillId="0" borderId="7" xfId="0" applyNumberFormat="1" applyBorder="1"/>
    <xf numFmtId="44" fontId="0" fillId="0" borderId="8" xfId="0" applyNumberFormat="1" applyBorder="1"/>
    <xf numFmtId="0" fontId="0" fillId="0" borderId="4" xfId="0" applyBorder="1" applyAlignment="1">
      <alignment horizontal="center"/>
    </xf>
    <xf numFmtId="0" fontId="2" fillId="0" borderId="10" xfId="0" applyFont="1" applyBorder="1" applyAlignment="1">
      <alignment wrapText="1"/>
    </xf>
    <xf numFmtId="44" fontId="0" fillId="0" borderId="11" xfId="0" applyNumberFormat="1" applyBorder="1"/>
    <xf numFmtId="44" fontId="0" fillId="0" borderId="9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AF30-CFD5-4163-87AF-AA8E412F842D}">
  <dimension ref="A1:G24"/>
  <sheetViews>
    <sheetView topLeftCell="A7" zoomScale="85" zoomScaleNormal="85" workbookViewId="0">
      <selection activeCell="F31" sqref="F31"/>
    </sheetView>
  </sheetViews>
  <sheetFormatPr defaultRowHeight="14.4" x14ac:dyDescent="0.3"/>
  <cols>
    <col min="1" max="1" width="51.109375" style="2" customWidth="1"/>
    <col min="2" max="7" width="19.5546875" style="1" customWidth="1"/>
    <col min="10" max="10" width="14.21875" bestFit="1" customWidth="1"/>
  </cols>
  <sheetData>
    <row r="1" spans="1:7" x14ac:dyDescent="0.3">
      <c r="A1" s="9" t="s">
        <v>0</v>
      </c>
      <c r="B1" s="10">
        <v>2.5000000000000001E-2</v>
      </c>
      <c r="C1"/>
      <c r="D1"/>
      <c r="E1"/>
      <c r="F1"/>
      <c r="G1"/>
    </row>
    <row r="2" spans="1:7" x14ac:dyDescent="0.3">
      <c r="A2" s="9" t="s">
        <v>17</v>
      </c>
      <c r="B2" s="11">
        <f>NPV($B$1,B24:G24)</f>
        <v>3416865.1517809932</v>
      </c>
      <c r="C2"/>
      <c r="D2"/>
      <c r="E2"/>
      <c r="F2"/>
      <c r="G2"/>
    </row>
    <row r="3" spans="1:7" x14ac:dyDescent="0.3">
      <c r="A3" s="9" t="s">
        <v>19</v>
      </c>
      <c r="B3" s="11">
        <f>-NPV($B$1,B16:G16)</f>
        <v>128778143.52613491</v>
      </c>
      <c r="C3"/>
      <c r="D3"/>
      <c r="E3"/>
      <c r="F3"/>
      <c r="G3"/>
    </row>
    <row r="4" spans="1:7" x14ac:dyDescent="0.3">
      <c r="A4" s="9" t="s">
        <v>18</v>
      </c>
      <c r="B4" s="11">
        <f>NPV($B$1,B21:G21)</f>
        <v>132195008.6779159</v>
      </c>
      <c r="C4"/>
      <c r="D4"/>
      <c r="E4"/>
      <c r="F4"/>
      <c r="G4"/>
    </row>
    <row r="5" spans="1:7" x14ac:dyDescent="0.3">
      <c r="B5"/>
      <c r="C5"/>
      <c r="D5"/>
      <c r="E5"/>
      <c r="F5"/>
      <c r="G5"/>
    </row>
    <row r="6" spans="1:7" x14ac:dyDescent="0.3">
      <c r="A6" s="12"/>
      <c r="B6" s="18">
        <v>2026</v>
      </c>
      <c r="C6" s="18"/>
      <c r="D6" s="18">
        <v>2027</v>
      </c>
      <c r="E6" s="18"/>
      <c r="F6" s="18"/>
      <c r="G6" s="18"/>
    </row>
    <row r="7" spans="1:7" x14ac:dyDescent="0.3">
      <c r="A7" s="12"/>
      <c r="B7" s="13" t="s">
        <v>2</v>
      </c>
      <c r="C7" s="13" t="s">
        <v>3</v>
      </c>
      <c r="D7" s="13" t="s">
        <v>4</v>
      </c>
      <c r="E7" s="13" t="s">
        <v>1</v>
      </c>
      <c r="F7" s="13" t="s">
        <v>2</v>
      </c>
      <c r="G7" s="13" t="s">
        <v>3</v>
      </c>
    </row>
    <row r="8" spans="1:7" x14ac:dyDescent="0.3">
      <c r="A8" s="3" t="s">
        <v>5</v>
      </c>
      <c r="B8" s="7"/>
      <c r="C8" s="17"/>
      <c r="D8" s="17"/>
      <c r="E8" s="17"/>
      <c r="F8" s="17"/>
      <c r="G8" s="14"/>
    </row>
    <row r="9" spans="1:7" ht="16.8" customHeight="1" x14ac:dyDescent="0.3">
      <c r="A9" s="4" t="s">
        <v>6</v>
      </c>
      <c r="B9" s="7">
        <v>1000000</v>
      </c>
      <c r="C9" s="7">
        <v>0</v>
      </c>
      <c r="D9" s="7">
        <v>0</v>
      </c>
      <c r="E9" s="7">
        <v>0</v>
      </c>
      <c r="F9" s="7">
        <v>0</v>
      </c>
      <c r="G9" s="15">
        <v>0</v>
      </c>
    </row>
    <row r="10" spans="1:7" ht="16.8" customHeight="1" x14ac:dyDescent="0.3">
      <c r="A10" s="4" t="s">
        <v>12</v>
      </c>
      <c r="B10" s="7">
        <v>250000</v>
      </c>
      <c r="C10" s="7">
        <v>250000</v>
      </c>
      <c r="D10" s="7">
        <v>250000</v>
      </c>
      <c r="E10" s="7">
        <v>250000</v>
      </c>
      <c r="F10" s="7">
        <v>250000</v>
      </c>
      <c r="G10" s="15">
        <v>250000</v>
      </c>
    </row>
    <row r="11" spans="1:7" ht="16.8" customHeight="1" x14ac:dyDescent="0.3">
      <c r="A11" s="4" t="s">
        <v>10</v>
      </c>
      <c r="B11" s="7">
        <v>1000000</v>
      </c>
      <c r="C11" s="7"/>
      <c r="D11" s="7"/>
      <c r="E11" s="7"/>
      <c r="F11" s="7"/>
      <c r="G11" s="15"/>
    </row>
    <row r="12" spans="1:7" ht="16.8" customHeight="1" x14ac:dyDescent="0.3">
      <c r="A12" s="4" t="s">
        <v>8</v>
      </c>
      <c r="B12" s="7">
        <f>6500000*3</f>
        <v>19500000</v>
      </c>
      <c r="C12" s="7">
        <f t="shared" ref="C12:G12" si="0">6500000*3</f>
        <v>19500000</v>
      </c>
      <c r="D12" s="7">
        <f t="shared" si="0"/>
        <v>19500000</v>
      </c>
      <c r="E12" s="7">
        <f t="shared" si="0"/>
        <v>19500000</v>
      </c>
      <c r="F12" s="7">
        <f t="shared" si="0"/>
        <v>19500000</v>
      </c>
      <c r="G12" s="15">
        <f t="shared" si="0"/>
        <v>19500000</v>
      </c>
    </row>
    <row r="13" spans="1:7" ht="16.8" customHeight="1" x14ac:dyDescent="0.3">
      <c r="A13" s="4" t="s">
        <v>9</v>
      </c>
      <c r="B13" s="7">
        <v>150000</v>
      </c>
      <c r="C13" s="7">
        <v>150000</v>
      </c>
      <c r="D13" s="7">
        <v>150000</v>
      </c>
      <c r="E13" s="7">
        <v>150000</v>
      </c>
      <c r="F13" s="7">
        <v>150000</v>
      </c>
      <c r="G13" s="15">
        <v>150000</v>
      </c>
    </row>
    <row r="14" spans="1:7" ht="16.8" customHeight="1" x14ac:dyDescent="0.3">
      <c r="A14" s="4" t="s">
        <v>11</v>
      </c>
      <c r="B14" s="7">
        <v>1000000</v>
      </c>
      <c r="C14" s="7">
        <v>1000000</v>
      </c>
      <c r="D14" s="7">
        <v>1000000</v>
      </c>
      <c r="E14" s="7">
        <v>1000000</v>
      </c>
      <c r="F14" s="7">
        <v>1000000</v>
      </c>
      <c r="G14" s="15">
        <v>1000000</v>
      </c>
    </row>
    <row r="15" spans="1:7" customFormat="1" ht="16.8" customHeight="1" thickBot="1" x14ac:dyDescent="0.35">
      <c r="A15" s="5" t="s">
        <v>7</v>
      </c>
      <c r="B15" s="8">
        <f>10%*SUM(B9:B14)</f>
        <v>2290000</v>
      </c>
      <c r="C15" s="8">
        <f t="shared" ref="C15:G15" si="1">10%*SUM(C9:C14)</f>
        <v>2090000</v>
      </c>
      <c r="D15" s="8">
        <f t="shared" si="1"/>
        <v>2090000</v>
      </c>
      <c r="E15" s="8">
        <f t="shared" si="1"/>
        <v>2090000</v>
      </c>
      <c r="F15" s="8">
        <f t="shared" si="1"/>
        <v>2090000</v>
      </c>
      <c r="G15" s="16">
        <f t="shared" si="1"/>
        <v>2090000</v>
      </c>
    </row>
    <row r="16" spans="1:7" ht="16.8" customHeight="1" x14ac:dyDescent="0.3">
      <c r="A16" s="3" t="s">
        <v>15</v>
      </c>
      <c r="B16" s="7">
        <f>-SUM(B9:B15)</f>
        <v>-25190000</v>
      </c>
      <c r="C16" s="7">
        <f t="shared" ref="C16:G16" si="2">-SUM(C9:C15)</f>
        <v>-22990000</v>
      </c>
      <c r="D16" s="7">
        <f t="shared" si="2"/>
        <v>-22990000</v>
      </c>
      <c r="E16" s="7">
        <f t="shared" si="2"/>
        <v>-22990000</v>
      </c>
      <c r="F16" s="7">
        <f t="shared" si="2"/>
        <v>-22990000</v>
      </c>
      <c r="G16" s="15">
        <f t="shared" si="2"/>
        <v>-22990000</v>
      </c>
    </row>
    <row r="17" spans="1:7" x14ac:dyDescent="0.3">
      <c r="A17" s="3"/>
      <c r="B17" s="7"/>
      <c r="C17" s="7"/>
      <c r="D17" s="7"/>
      <c r="E17" s="7"/>
      <c r="F17" s="7"/>
      <c r="G17" s="15"/>
    </row>
    <row r="18" spans="1:7" x14ac:dyDescent="0.3">
      <c r="A18" s="3"/>
      <c r="B18" s="7"/>
      <c r="C18" s="7"/>
      <c r="D18" s="7"/>
      <c r="E18" s="7"/>
      <c r="F18" s="7"/>
      <c r="G18" s="15"/>
    </row>
    <row r="19" spans="1:7" x14ac:dyDescent="0.3">
      <c r="A19" s="3" t="s">
        <v>13</v>
      </c>
      <c r="B19" s="7"/>
      <c r="C19" s="7"/>
      <c r="D19" s="7"/>
      <c r="E19" s="7"/>
      <c r="F19" s="7"/>
      <c r="G19" s="15"/>
    </row>
    <row r="20" spans="1:7" customFormat="1" ht="15" thickBot="1" x14ac:dyDescent="0.35">
      <c r="A20" s="5" t="s">
        <v>14</v>
      </c>
      <c r="B20" s="8">
        <f>24000000</f>
        <v>24000000</v>
      </c>
      <c r="C20" s="8">
        <f t="shared" ref="C20:G20" si="3">24000000</f>
        <v>24000000</v>
      </c>
      <c r="D20" s="8">
        <f t="shared" si="3"/>
        <v>24000000</v>
      </c>
      <c r="E20" s="8">
        <f t="shared" si="3"/>
        <v>24000000</v>
      </c>
      <c r="F20" s="8">
        <f t="shared" si="3"/>
        <v>24000000</v>
      </c>
      <c r="G20" s="16">
        <f t="shared" si="3"/>
        <v>24000000</v>
      </c>
    </row>
    <row r="21" spans="1:7" x14ac:dyDescent="0.3">
      <c r="A21" s="3" t="s">
        <v>16</v>
      </c>
      <c r="B21" s="7">
        <f>SUM(B20)</f>
        <v>24000000</v>
      </c>
      <c r="C21" s="7">
        <f t="shared" ref="C21:G21" si="4">SUM(C20)</f>
        <v>24000000</v>
      </c>
      <c r="D21" s="7">
        <f t="shared" si="4"/>
        <v>24000000</v>
      </c>
      <c r="E21" s="7">
        <f t="shared" si="4"/>
        <v>24000000</v>
      </c>
      <c r="F21" s="7">
        <f t="shared" si="4"/>
        <v>24000000</v>
      </c>
      <c r="G21" s="15">
        <f t="shared" si="4"/>
        <v>24000000</v>
      </c>
    </row>
    <row r="22" spans="1:7" x14ac:dyDescent="0.3">
      <c r="B22" s="7"/>
      <c r="C22" s="7"/>
      <c r="D22" s="7"/>
      <c r="E22" s="7"/>
      <c r="F22" s="7"/>
      <c r="G22" s="15"/>
    </row>
    <row r="23" spans="1:7" x14ac:dyDescent="0.3">
      <c r="B23" s="7"/>
      <c r="C23" s="7"/>
      <c r="D23" s="7"/>
      <c r="E23" s="7"/>
      <c r="F23" s="7"/>
      <c r="G23" s="15"/>
    </row>
    <row r="24" spans="1:7" x14ac:dyDescent="0.3">
      <c r="A24" s="19" t="s">
        <v>20</v>
      </c>
      <c r="B24" s="20">
        <f>SUM(B16,B21)</f>
        <v>-1190000</v>
      </c>
      <c r="C24" s="20">
        <f t="shared" ref="C24:G24" si="5">SUM(C16,C21)</f>
        <v>1010000</v>
      </c>
      <c r="D24" s="20">
        <f t="shared" si="5"/>
        <v>1010000</v>
      </c>
      <c r="E24" s="20">
        <f t="shared" si="5"/>
        <v>1010000</v>
      </c>
      <c r="F24" s="20">
        <f t="shared" si="5"/>
        <v>1010000</v>
      </c>
      <c r="G24" s="21">
        <f t="shared" si="5"/>
        <v>1010000</v>
      </c>
    </row>
  </sheetData>
  <mergeCells count="2">
    <mergeCell ref="B6:C6"/>
    <mergeCell ref="D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A889-47CA-4D0B-9AFD-B5F6016B1610}">
  <dimension ref="A1"/>
  <sheetViews>
    <sheetView tabSelected="1" workbookViewId="0">
      <selection activeCell="E15" sqref="E1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Kalkulasi Penghematan Produksi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Zia Akhtar Rabbani</dc:creator>
  <cp:lastModifiedBy>Muhammad Zia Akhtar Rabbani</cp:lastModifiedBy>
  <dcterms:created xsi:type="dcterms:W3CDTF">2026-07-01T04:26:10Z</dcterms:created>
  <dcterms:modified xsi:type="dcterms:W3CDTF">2026-07-01T07:26:48Z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2026-07-01T04:26:12Z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f14e5c47-0db6-453c-a16b-31b42d93fc18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